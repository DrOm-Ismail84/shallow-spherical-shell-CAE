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d Shahrom Ismail\Desktop\MYATP\MYATP - 2025\RESEARCH &amp; PUBLICATION\Failure of Spherical Cap - Case Study\"/>
    </mc:Choice>
  </mc:AlternateContent>
  <xr:revisionPtr revIDLastSave="0" documentId="13_ncr:1_{4CDF7A90-AE10-47B7-9DC3-077671703C66}" xr6:coauthVersionLast="47" xr6:coauthVersionMax="47" xr10:uidLastSave="{00000000-0000-0000-0000-000000000000}"/>
  <bookViews>
    <workbookView xWindow="-110" yWindow="-110" windowWidth="19420" windowHeight="10300" activeTab="5" xr2:uid="{C5A22BC5-E082-465E-B754-6A79A924E6CD}"/>
  </bookViews>
  <sheets>
    <sheet name="LBA" sheetId="1" r:id="rId1"/>
    <sheet name="Codes" sheetId="5" r:id="rId2"/>
    <sheet name="Case 3" sheetId="7" r:id="rId3"/>
    <sheet name="Sheet2" sheetId="10" r:id="rId4"/>
    <sheet name="Imperfection" sheetId="11" r:id="rId5"/>
    <sheet name="Sheet3" sheetId="12" r:id="rId6"/>
    <sheet name="Fatigue Life" sheetId="8" r:id="rId7"/>
    <sheet name="Sheet1" sheetId="9" r:id="rId8"/>
    <sheet name="NL" sheetId="2" r:id="rId9"/>
    <sheet name="Parametric" sheetId="4" r:id="rId10"/>
    <sheet name="Case 2" sheetId="6" r:id="rId11"/>
    <sheet name="Chemical Comp" sheetId="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" i="12" l="1"/>
  <c r="U5" i="12"/>
  <c r="U4" i="12"/>
  <c r="T4" i="12"/>
  <c r="T6" i="12"/>
  <c r="T5" i="12"/>
  <c r="S6" i="12"/>
  <c r="S5" i="12"/>
  <c r="S4" i="12"/>
  <c r="R6" i="12"/>
  <c r="R5" i="12"/>
  <c r="R4" i="12"/>
  <c r="Q5" i="12"/>
  <c r="Q6" i="12"/>
  <c r="Q4" i="12"/>
  <c r="P5" i="12"/>
  <c r="P6" i="12"/>
  <c r="P4" i="12"/>
  <c r="Z13" i="12"/>
  <c r="AA13" i="12"/>
  <c r="AB13" i="12"/>
  <c r="Y13" i="12"/>
  <c r="Z11" i="12"/>
  <c r="AA11" i="12"/>
  <c r="AB11" i="12"/>
  <c r="Y11" i="12"/>
  <c r="Q6" i="11"/>
  <c r="G6" i="11"/>
  <c r="R6" i="11"/>
  <c r="S6" i="11" s="1"/>
  <c r="Q5" i="11"/>
  <c r="R5" i="11" s="1"/>
  <c r="S5" i="11" s="1"/>
  <c r="Q4" i="11"/>
  <c r="R4" i="11" s="1"/>
  <c r="S4" i="11" s="1"/>
  <c r="F5" i="11"/>
  <c r="G5" i="11" s="1"/>
  <c r="H5" i="11" s="1"/>
  <c r="F6" i="11"/>
  <c r="H6" i="11" s="1"/>
  <c r="F4" i="11"/>
  <c r="G4" i="11" s="1"/>
  <c r="H4" i="11" s="1"/>
  <c r="Q22" i="1"/>
  <c r="R22" i="1"/>
  <c r="O22" i="1"/>
  <c r="P22" i="1"/>
  <c r="N22" i="1"/>
  <c r="F6" i="9"/>
  <c r="E6" i="9"/>
  <c r="D6" i="9"/>
  <c r="M5" i="8"/>
  <c r="M6" i="8"/>
  <c r="M4" i="8"/>
  <c r="L5" i="8"/>
  <c r="J5" i="8"/>
  <c r="K5" i="8" s="1"/>
  <c r="J6" i="8"/>
  <c r="K6" i="8" s="1"/>
  <c r="L6" i="8" s="1"/>
  <c r="I5" i="8"/>
  <c r="I6" i="8"/>
  <c r="L4" i="8"/>
  <c r="K4" i="8"/>
  <c r="J4" i="8"/>
  <c r="I4" i="8"/>
  <c r="N4" i="7"/>
  <c r="D5" i="7"/>
  <c r="E28" i="4"/>
  <c r="E27" i="4"/>
  <c r="E26" i="4"/>
  <c r="E25" i="4"/>
  <c r="E24" i="4"/>
  <c r="E19" i="4"/>
  <c r="E18" i="4"/>
  <c r="E17" i="4"/>
  <c r="E16" i="4"/>
  <c r="E15" i="4"/>
  <c r="E7" i="4"/>
  <c r="E8" i="4"/>
  <c r="E9" i="4"/>
  <c r="E10" i="4"/>
  <c r="E6" i="4"/>
  <c r="I15" i="1"/>
  <c r="I10" i="1" l="1"/>
  <c r="I9" i="1"/>
  <c r="I11" i="1"/>
  <c r="I8" i="1"/>
</calcChain>
</file>

<file path=xl/sharedStrings.xml><?xml version="1.0" encoding="utf-8"?>
<sst xmlns="http://schemas.openxmlformats.org/spreadsheetml/2006/main" count="444" uniqueCount="200">
  <si>
    <t>CL</t>
  </si>
  <si>
    <t>LBA [MPa]</t>
  </si>
  <si>
    <t>FF</t>
  </si>
  <si>
    <t>Case</t>
  </si>
  <si>
    <t>Applied load [MPa]</t>
  </si>
  <si>
    <t>Bifurcation [MPa]</t>
  </si>
  <si>
    <t>Dead load</t>
  </si>
  <si>
    <t>Live load</t>
  </si>
  <si>
    <t>Lamda</t>
  </si>
  <si>
    <t>Bif</t>
  </si>
  <si>
    <t>0.273 (36)</t>
  </si>
  <si>
    <t>0.157 (32)</t>
  </si>
  <si>
    <t>0.096 (20)</t>
  </si>
  <si>
    <t>0.104 (24)</t>
  </si>
  <si>
    <t>y</t>
  </si>
  <si>
    <t>x</t>
  </si>
  <si>
    <t>GNA</t>
  </si>
  <si>
    <t>GMNA</t>
  </si>
  <si>
    <t>170 MPa</t>
  </si>
  <si>
    <t>270 MPa</t>
  </si>
  <si>
    <t>316S11</t>
  </si>
  <si>
    <t>16.5/18.5</t>
  </si>
  <si>
    <t>11.0/14.0</t>
  </si>
  <si>
    <t>2.0/2.5</t>
  </si>
  <si>
    <t>Grade</t>
  </si>
  <si>
    <t>Chemical composition (% by mass – max unless stated)</t>
  </si>
  <si>
    <t>–</t>
  </si>
  <si>
    <t>C</t>
  </si>
  <si>
    <t>Si</t>
  </si>
  <si>
    <t>Mn</t>
  </si>
  <si>
    <t>S</t>
  </si>
  <si>
    <t>P</t>
  </si>
  <si>
    <t>Cr</t>
  </si>
  <si>
    <t>Ni</t>
  </si>
  <si>
    <t>Mo</t>
  </si>
  <si>
    <t>Type of BC</t>
  </si>
  <si>
    <t>U1</t>
  </si>
  <si>
    <t>U2</t>
  </si>
  <si>
    <t>U3</t>
  </si>
  <si>
    <t>UR1</t>
  </si>
  <si>
    <t>UR2</t>
  </si>
  <si>
    <t>UR3</t>
  </si>
  <si>
    <t>fixed</t>
  </si>
  <si>
    <t>free</t>
  </si>
  <si>
    <t>Mode 1</t>
  </si>
  <si>
    <t>Mode 2</t>
  </si>
  <si>
    <t>Mode 3</t>
  </si>
  <si>
    <t>Mode 4</t>
  </si>
  <si>
    <t>Mode 5</t>
  </si>
  <si>
    <t>PBif [MPa]</t>
  </si>
  <si>
    <t>0.20696 (20)</t>
  </si>
  <si>
    <t>0.20696(28)</t>
  </si>
  <si>
    <t>0.09600(20)</t>
  </si>
  <si>
    <t>0.2081(26)</t>
  </si>
  <si>
    <t>0.2069(30)</t>
  </si>
  <si>
    <t>0.14229(22)</t>
  </si>
  <si>
    <t>0.14488(18)</t>
  </si>
  <si>
    <t>0.57214(34)</t>
  </si>
  <si>
    <t>0.57342(36)</t>
  </si>
  <si>
    <t>0.57668(32)</t>
  </si>
  <si>
    <t>0.2955(coll)</t>
  </si>
  <si>
    <t>0.5683(34)</t>
  </si>
  <si>
    <t>0.57004(36)</t>
  </si>
  <si>
    <t>T4</t>
  </si>
  <si>
    <t>Pop</t>
  </si>
  <si>
    <t>Design codes</t>
  </si>
  <si>
    <t>PD 5500</t>
  </si>
  <si>
    <t>ABS</t>
  </si>
  <si>
    <t>DnV</t>
  </si>
  <si>
    <r>
      <t>P</t>
    </r>
    <r>
      <rPr>
        <i/>
        <vertAlign val="subscript"/>
        <sz val="12"/>
        <color theme="1"/>
        <rFont val="Arial"/>
        <family val="2"/>
      </rPr>
      <t>code</t>
    </r>
    <r>
      <rPr>
        <vertAlign val="subscript"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[MPa]</t>
    </r>
  </si>
  <si>
    <t>Pdesign</t>
  </si>
  <si>
    <t>700 MPa</t>
  </si>
  <si>
    <t>Bifurcation sensitivity</t>
  </si>
  <si>
    <t>Case A</t>
  </si>
  <si>
    <t>t/r</t>
  </si>
  <si>
    <t>r</t>
  </si>
  <si>
    <t>t</t>
  </si>
  <si>
    <t>Test</t>
  </si>
  <si>
    <t>Fy [MPa]</t>
  </si>
  <si>
    <t>FE</t>
  </si>
  <si>
    <t>No.</t>
  </si>
  <si>
    <t>Case B</t>
  </si>
  <si>
    <t>Case C</t>
  </si>
  <si>
    <t>Out</t>
  </si>
  <si>
    <t>In</t>
  </si>
  <si>
    <t>b (mm)</t>
  </si>
  <si>
    <t>h (mm)</t>
  </si>
  <si>
    <t>GMNA (MPa)</t>
  </si>
  <si>
    <t>RO_t10</t>
  </si>
  <si>
    <t>ID</t>
  </si>
  <si>
    <t>RO_t8</t>
  </si>
  <si>
    <t>RO_t4.75</t>
  </si>
  <si>
    <t>RS-1</t>
  </si>
  <si>
    <t>4.75 mm</t>
  </si>
  <si>
    <t>8 mm</t>
  </si>
  <si>
    <t>10 mm</t>
  </si>
  <si>
    <t>Outside</t>
  </si>
  <si>
    <t>Inside</t>
  </si>
  <si>
    <t>No. stifferner = 1</t>
  </si>
  <si>
    <t>No. stifferner = 3</t>
  </si>
  <si>
    <t>t1_steel</t>
  </si>
  <si>
    <t>t2_aux</t>
  </si>
  <si>
    <t>t3_steel</t>
  </si>
  <si>
    <t>v-Poisson's Ratios</t>
  </si>
  <si>
    <t>−0.5</t>
  </si>
  <si>
    <t>−0.3</t>
  </si>
  <si>
    <t>−0.1</t>
  </si>
  <si>
    <t>t_core (mm)</t>
  </si>
  <si>
    <t>SF</t>
  </si>
  <si>
    <t>sigma_u</t>
  </si>
  <si>
    <t>A (MPa)</t>
  </si>
  <si>
    <t>b</t>
  </si>
  <si>
    <t xml:space="preserve">316 Stainless Steel </t>
  </si>
  <si>
    <t>sigma_min</t>
  </si>
  <si>
    <t>sigma_max</t>
  </si>
  <si>
    <t>R</t>
  </si>
  <si>
    <t>sigma_a</t>
  </si>
  <si>
    <t>sigma_a, eq</t>
  </si>
  <si>
    <t>Nf</t>
  </si>
  <si>
    <t>Metric</t>
  </si>
  <si>
    <t>Nominal Stress (σnom,FEA​)</t>
  </si>
  <si>
    <t>Max Local Stress (σmax,vM​)</t>
  </si>
  <si>
    <t>Stress Concentration Factor (Kt​)</t>
  </si>
  <si>
    <t>Fatigue Life (Nf​ cycles)</t>
  </si>
  <si>
    <t>8.076×107</t>
  </si>
  <si>
    <t>Case 1 
(Monolithic Shell)</t>
  </si>
  <si>
    <t>Case 2 
(Stiffened Shell - Failure)</t>
  </si>
  <si>
    <t>Case 3 
(Auxetic Shell - Prevention)</t>
  </si>
  <si>
    <t>No. of elements</t>
  </si>
  <si>
    <r>
      <t>P</t>
    </r>
    <r>
      <rPr>
        <i/>
        <vertAlign val="subscript"/>
        <sz val="10"/>
        <color theme="1"/>
        <rFont val="Times New Roman"/>
        <family val="1"/>
      </rPr>
      <t>coll</t>
    </r>
    <r>
      <rPr>
        <sz val="10"/>
        <color theme="1"/>
        <rFont val="Times New Roman"/>
        <family val="1"/>
      </rPr>
      <t xml:space="preserve"> (MPa)</t>
    </r>
  </si>
  <si>
    <t>Relative error (%)</t>
  </si>
  <si>
    <t>Case 1</t>
  </si>
  <si>
    <t>Case 2</t>
  </si>
  <si>
    <t>Case 3</t>
  </si>
  <si>
    <t>Feature</t>
  </si>
  <si>
    <t>Case 2: Discrete Ring Stiffeners</t>
  </si>
  <si>
    <t>Case 3: Auxetic Sandwich Shell</t>
  </si>
  <si>
    <t>Peak Buckling Resistance</t>
  </si>
  <si>
    <t>Load Distribution</t>
  </si>
  <si>
    <t>Highly Localized (Stress Concentration)</t>
  </si>
  <si>
    <t>Homogenized (Uniform Stress)</t>
  </si>
  <si>
    <t>Sensitivity to Placement</t>
  </si>
  <si>
    <t>Primary Failure Mode</t>
  </si>
  <si>
    <t>Inter-ring skin buckling / General instability</t>
  </si>
  <si>
    <t>Global shell collapse (NPR dependent)</t>
  </si>
  <si>
    <t>Manufacturing Risk</t>
  </si>
  <si>
    <t>High (Welding residual stresses)</t>
  </si>
  <si>
    <t>Low (Monolithic 3D printing)</t>
  </si>
  <si>
    <t>Optimal Configuration</t>
  </si>
  <si>
    <t>3 Rings, External, $b = 10$ mm</t>
  </si>
  <si>
    <t>$t_{core} \geq 15$ mm, $\nu &lt; 0$</t>
  </si>
  <si>
    <t>High (0.2082 MPa)</t>
  </si>
  <si>
    <t>Moderate-High (0.1607 MPa)</t>
  </si>
  <si>
    <t>Critical (Internal placement fails)</t>
  </si>
  <si>
    <t>Low (Stable across NPR range)</t>
  </si>
  <si>
    <t>wo</t>
  </si>
  <si>
    <t>Class A</t>
  </si>
  <si>
    <t>Class B</t>
  </si>
  <si>
    <t>Class C</t>
  </si>
  <si>
    <t>Class</t>
  </si>
  <si>
    <t>P (MPa)</t>
  </si>
  <si>
    <t>KDF</t>
  </si>
  <si>
    <t>Pcr (MPa)</t>
  </si>
  <si>
    <t>lgx</t>
  </si>
  <si>
    <t>u</t>
  </si>
  <si>
    <t>wo/t</t>
  </si>
  <si>
    <t>Perfect</t>
  </si>
  <si>
    <t>Case ID</t>
  </si>
  <si>
    <t>Configuration</t>
  </si>
  <si>
    <r>
      <t>P</t>
    </r>
    <r>
      <rPr>
        <i/>
        <vertAlign val="subscript"/>
        <sz val="12"/>
        <color theme="1"/>
        <rFont val="Times New Roman"/>
        <family val="1"/>
      </rPr>
      <t>imp, ECCS Class C</t>
    </r>
    <r>
      <rPr>
        <sz val="12"/>
        <color theme="1"/>
        <rFont val="Times New Roman"/>
        <family val="1"/>
      </rPr>
      <t>​ (MPa)</t>
    </r>
  </si>
  <si>
    <t>Nominal Monolithic</t>
  </si>
  <si>
    <t>Ring-Stiffened (Ext)</t>
  </si>
  <si>
    <t>Auxetic Sandwich</t>
  </si>
  <si>
    <r>
      <t>P</t>
    </r>
    <r>
      <rPr>
        <i/>
        <vertAlign val="subscript"/>
        <sz val="12"/>
        <color theme="1"/>
        <rFont val="Times New Roman"/>
        <family val="1"/>
      </rPr>
      <t>coll</t>
    </r>
    <r>
      <rPr>
        <sz val="12"/>
        <color theme="1"/>
        <rFont val="Times New Roman"/>
        <family val="1"/>
      </rPr>
      <t>​ 
(MPa)</t>
    </r>
  </si>
  <si>
    <r>
      <t xml:space="preserve">wo </t>
    </r>
    <r>
      <rPr>
        <sz val="12"/>
        <color theme="1"/>
        <rFont val="Times New Roman"/>
        <family val="1"/>
      </rPr>
      <t>(mm)</t>
    </r>
  </si>
  <si>
    <r>
      <t xml:space="preserve">t </t>
    </r>
    <r>
      <rPr>
        <sz val="12"/>
        <color theme="1"/>
        <rFont val="Times New Roman"/>
        <family val="1"/>
      </rPr>
      <t>(mm)</t>
    </r>
  </si>
  <si>
    <t>Local imperfect</t>
  </si>
  <si>
    <t>1st Modeshape</t>
  </si>
  <si>
    <t>2nd Modeshape</t>
  </si>
  <si>
    <t>3rd Modeshape</t>
  </si>
  <si>
    <t>4th Modeshape</t>
  </si>
  <si>
    <t>5th Modeshape</t>
  </si>
  <si>
    <t>EM1</t>
  </si>
  <si>
    <t>EM2</t>
  </si>
  <si>
    <t>EM3</t>
  </si>
  <si>
    <t>EM4</t>
  </si>
  <si>
    <t>EM5</t>
  </si>
  <si>
    <t>Case 1/2</t>
  </si>
  <si>
    <t>Global imperfection</t>
  </si>
  <si>
    <t>KDF 
Local imperfect</t>
  </si>
  <si>
    <t>KDF 
Global imperfection</t>
  </si>
  <si>
    <t>Local</t>
  </si>
  <si>
    <t xml:space="preserve">Localized </t>
  </si>
  <si>
    <t>Global imperfection (modeshape)</t>
  </si>
  <si>
    <t>dimple</t>
  </si>
  <si>
    <r>
      <t>1</t>
    </r>
    <r>
      <rPr>
        <vertAlign val="superscript"/>
        <sz val="12"/>
        <color rgb="FF000000"/>
        <rFont val="Times New Roman"/>
        <family val="1"/>
      </rPr>
      <t>st</t>
    </r>
  </si>
  <si>
    <r>
      <t>2</t>
    </r>
    <r>
      <rPr>
        <vertAlign val="superscript"/>
        <sz val="12"/>
        <color rgb="FF000000"/>
        <rFont val="Times New Roman"/>
        <family val="1"/>
      </rPr>
      <t>nd</t>
    </r>
  </si>
  <si>
    <r>
      <t>3</t>
    </r>
    <r>
      <rPr>
        <vertAlign val="superscript"/>
        <sz val="12"/>
        <color rgb="FF000000"/>
        <rFont val="Times New Roman"/>
        <family val="1"/>
      </rPr>
      <t>rd</t>
    </r>
  </si>
  <si>
    <r>
      <t>4</t>
    </r>
    <r>
      <rPr>
        <vertAlign val="superscript"/>
        <sz val="12"/>
        <color rgb="FF000000"/>
        <rFont val="Times New Roman"/>
        <family val="1"/>
      </rPr>
      <t>th</t>
    </r>
  </si>
  <si>
    <r>
      <t>5</t>
    </r>
    <r>
      <rPr>
        <vertAlign val="superscript"/>
        <sz val="12"/>
        <color rgb="FF000000"/>
        <rFont val="Times New Roman"/>
        <family val="1"/>
      </rPr>
      <t>th</t>
    </r>
    <r>
      <rPr>
        <sz val="12"/>
        <color rgb="FF000000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</si>
</sst>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E+00"/>
    <numFmt numFmtId="167" formatCode="0.0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7"/>
      <color rgb="FF000000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i/>
      <sz val="12"/>
      <color theme="1"/>
      <name val="Arial"/>
      <family val="2"/>
    </font>
    <font>
      <i/>
      <vertAlign val="subscript"/>
      <sz val="12"/>
      <color theme="1"/>
      <name val="Arial"/>
      <family val="2"/>
    </font>
    <font>
      <vertAlign val="subscript"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vertAlign val="subscript"/>
      <sz val="10"/>
      <color theme="1"/>
      <name val="Times New Roman"/>
      <family val="1"/>
    </font>
    <font>
      <sz val="10"/>
      <color theme="1"/>
      <name val="Calibri"/>
      <family val="2"/>
    </font>
    <font>
      <sz val="12"/>
      <color rgb="FF1F1F1F"/>
      <name val="Times New Roman"/>
      <family val="1"/>
    </font>
    <font>
      <i/>
      <sz val="12"/>
      <color theme="1"/>
      <name val="Times New Roman"/>
      <family val="1"/>
    </font>
    <font>
      <i/>
      <vertAlign val="subscript"/>
      <sz val="12"/>
      <color theme="1"/>
      <name val="Times New Roman"/>
      <family val="1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0" fontId="15" fillId="0" borderId="1" xfId="0" applyNumberFormat="1" applyFont="1" applyBorder="1" applyAlignment="1">
      <alignment horizontal="center" vertical="center" wrapText="1"/>
    </xf>
    <xf numFmtId="3" fontId="12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0" fontId="11" fillId="0" borderId="0" xfId="0" applyFont="1"/>
    <xf numFmtId="0" fontId="16" fillId="0" borderId="11" xfId="0" applyFont="1" applyBorder="1" applyAlignment="1">
      <alignment vertical="center" wrapText="1" readingOrder="1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164" fontId="1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165" fontId="0" fillId="0" borderId="0" xfId="0" applyNumberFormat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4" fontId="11" fillId="6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Fill="1" applyBorder="1" applyAlignment="1">
      <alignment horizontal="center"/>
    </xf>
    <xf numFmtId="0" fontId="17" fillId="0" borderId="9" xfId="0" applyFont="1" applyBorder="1" applyAlignment="1">
      <alignment horizontal="center" vertical="center" wrapText="1"/>
    </xf>
    <xf numFmtId="164" fontId="11" fillId="0" borderId="9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Codes!$C$3:$I$3</c:f>
              <c:strCache>
                <c:ptCount val="7"/>
                <c:pt idx="0">
                  <c:v>PD 5500</c:v>
                </c:pt>
                <c:pt idx="1">
                  <c:v>ABS</c:v>
                </c:pt>
                <c:pt idx="2">
                  <c:v>DnV</c:v>
                </c:pt>
                <c:pt idx="3">
                  <c:v>Case 1</c:v>
                </c:pt>
                <c:pt idx="4">
                  <c:v>Case 2</c:v>
                </c:pt>
                <c:pt idx="5">
                  <c:v>Case 3</c:v>
                </c:pt>
                <c:pt idx="6">
                  <c:v>Pop</c:v>
                </c:pt>
              </c:strCache>
            </c:strRef>
          </c:tx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invertIfNegative val="0"/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44A-41ED-9B9B-A59CB1123D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Codes!$C$3:$I$3</c:f>
              <c:strCache>
                <c:ptCount val="7"/>
                <c:pt idx="0">
                  <c:v>PD 5500</c:v>
                </c:pt>
                <c:pt idx="1">
                  <c:v>ABS</c:v>
                </c:pt>
                <c:pt idx="2">
                  <c:v>DnV</c:v>
                </c:pt>
                <c:pt idx="3">
                  <c:v>Case 1</c:v>
                </c:pt>
                <c:pt idx="4">
                  <c:v>Case 2</c:v>
                </c:pt>
                <c:pt idx="5">
                  <c:v>Case 3</c:v>
                </c:pt>
                <c:pt idx="6">
                  <c:v>Pop</c:v>
                </c:pt>
              </c:strCache>
            </c:strRef>
          </c:cat>
          <c:val>
            <c:numRef>
              <c:f>Codes!$C$4:$I$4</c:f>
              <c:numCache>
                <c:formatCode>0.0000</c:formatCode>
                <c:ptCount val="7"/>
                <c:pt idx="0">
                  <c:v>6.7100000000000007E-2</c:v>
                </c:pt>
                <c:pt idx="1">
                  <c:v>0.1244</c:v>
                </c:pt>
                <c:pt idx="2">
                  <c:v>0.106</c:v>
                </c:pt>
                <c:pt idx="3">
                  <c:v>4.3749999999999997E-2</c:v>
                </c:pt>
                <c:pt idx="4">
                  <c:v>0.20817099999999999</c:v>
                </c:pt>
                <c:pt idx="5">
                  <c:v>0.160165</c:v>
                </c:pt>
                <c:pt idx="6">
                  <c:v>0.13200000000000001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5-47F8-9F0E-03FF0553D9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6308592"/>
        <c:axId val="496310512"/>
      </c:barChart>
      <c:catAx>
        <c:axId val="49630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310512"/>
        <c:crosses val="autoZero"/>
        <c:auto val="1"/>
        <c:lblAlgn val="ctr"/>
        <c:lblOffset val="100"/>
        <c:noMultiLvlLbl val="0"/>
      </c:catAx>
      <c:valAx>
        <c:axId val="496310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Pressure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30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45603674540683"/>
          <c:y val="5.0925925925925923E-2"/>
          <c:w val="0.81232174103237098"/>
          <c:h val="0.808318022747156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Imperfection!$F$8</c:f>
              <c:strCache>
                <c:ptCount val="1"/>
                <c:pt idx="0">
                  <c:v>Class C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Imperfection!$E$10:$E$40</c:f>
              <c:numCache>
                <c:formatCode>General</c:formatCode>
                <c:ptCount val="31"/>
                <c:pt idx="0">
                  <c:v>0.19347600000000001</c:v>
                </c:pt>
                <c:pt idx="1">
                  <c:v>1.4085399999999999</c:v>
                </c:pt>
                <c:pt idx="2">
                  <c:v>2.6223700000000001</c:v>
                </c:pt>
                <c:pt idx="3">
                  <c:v>4.4411399999999999</c:v>
                </c:pt>
                <c:pt idx="4">
                  <c:v>7.1725599999999998</c:v>
                </c:pt>
                <c:pt idx="5">
                  <c:v>8.6777899999999999</c:v>
                </c:pt>
                <c:pt idx="6">
                  <c:v>10.1135</c:v>
                </c:pt>
                <c:pt idx="7">
                  <c:v>11.4871</c:v>
                </c:pt>
                <c:pt idx="8">
                  <c:v>12.8436</c:v>
                </c:pt>
                <c:pt idx="9">
                  <c:v>14.901</c:v>
                </c:pt>
                <c:pt idx="10">
                  <c:v>16.935400000000001</c:v>
                </c:pt>
                <c:pt idx="11">
                  <c:v>19.049099999999999</c:v>
                </c:pt>
                <c:pt idx="12">
                  <c:v>21.0868</c:v>
                </c:pt>
                <c:pt idx="13">
                  <c:v>23.108599999999999</c:v>
                </c:pt>
                <c:pt idx="14">
                  <c:v>25.136099999999999</c:v>
                </c:pt>
                <c:pt idx="15">
                  <c:v>27.153099999999998</c:v>
                </c:pt>
                <c:pt idx="16">
                  <c:v>29.086300000000001</c:v>
                </c:pt>
                <c:pt idx="17">
                  <c:v>30.727699999999999</c:v>
                </c:pt>
                <c:pt idx="18">
                  <c:v>32.758899999999997</c:v>
                </c:pt>
                <c:pt idx="19">
                  <c:v>34.659199999999998</c:v>
                </c:pt>
                <c:pt idx="20">
                  <c:v>36.616599999999998</c:v>
                </c:pt>
                <c:pt idx="21">
                  <c:v>38.617100000000001</c:v>
                </c:pt>
                <c:pt idx="22">
                  <c:v>40.646999999999998</c:v>
                </c:pt>
                <c:pt idx="23">
                  <c:v>42.699599999999997</c:v>
                </c:pt>
                <c:pt idx="24">
                  <c:v>44.773000000000003</c:v>
                </c:pt>
                <c:pt idx="25">
                  <c:v>46.863700000000001</c:v>
                </c:pt>
                <c:pt idx="26">
                  <c:v>48.966099999999997</c:v>
                </c:pt>
                <c:pt idx="27">
                  <c:v>51.0869</c:v>
                </c:pt>
                <c:pt idx="28">
                  <c:v>53.218299999999999</c:v>
                </c:pt>
                <c:pt idx="29">
                  <c:v>55.360399999999998</c:v>
                </c:pt>
                <c:pt idx="30">
                  <c:v>57.5154</c:v>
                </c:pt>
              </c:numCache>
            </c:numRef>
          </c:xVal>
          <c:yVal>
            <c:numRef>
              <c:f>Imperfection!$F$10:$F$40</c:f>
              <c:numCache>
                <c:formatCode>General</c:formatCode>
                <c:ptCount val="31"/>
                <c:pt idx="0">
                  <c:v>0</c:v>
                </c:pt>
                <c:pt idx="1">
                  <c:v>9.7250700000000006E-3</c:v>
                </c:pt>
                <c:pt idx="2">
                  <c:v>1.8909499999999999E-2</c:v>
                </c:pt>
                <c:pt idx="3">
                  <c:v>3.17647E-2</c:v>
                </c:pt>
                <c:pt idx="4">
                  <c:v>4.1449100000000003E-2</c:v>
                </c:pt>
                <c:pt idx="5">
                  <c:v>4.3610099999999999E-2</c:v>
                </c:pt>
                <c:pt idx="6">
                  <c:v>4.43968E-2</c:v>
                </c:pt>
                <c:pt idx="7">
                  <c:v>4.4381999999999998E-2</c:v>
                </c:pt>
                <c:pt idx="8">
                  <c:v>4.39446E-2</c:v>
                </c:pt>
                <c:pt idx="9">
                  <c:v>4.3037100000000002E-2</c:v>
                </c:pt>
                <c:pt idx="10">
                  <c:v>4.1751999999999997E-2</c:v>
                </c:pt>
                <c:pt idx="11">
                  <c:v>4.0267600000000001E-2</c:v>
                </c:pt>
                <c:pt idx="12">
                  <c:v>3.8756899999999997E-2</c:v>
                </c:pt>
                <c:pt idx="13">
                  <c:v>3.7200299999999999E-2</c:v>
                </c:pt>
                <c:pt idx="14">
                  <c:v>3.5599199999999998E-2</c:v>
                </c:pt>
                <c:pt idx="15">
                  <c:v>3.3983800000000002E-2</c:v>
                </c:pt>
                <c:pt idx="16">
                  <c:v>3.2454400000000001E-2</c:v>
                </c:pt>
                <c:pt idx="17">
                  <c:v>3.1190900000000001E-2</c:v>
                </c:pt>
                <c:pt idx="18">
                  <c:v>2.9684700000000001E-2</c:v>
                </c:pt>
                <c:pt idx="19">
                  <c:v>2.8373900000000001E-2</c:v>
                </c:pt>
                <c:pt idx="20">
                  <c:v>2.71636E-2</c:v>
                </c:pt>
                <c:pt idx="21">
                  <c:v>2.61044E-2</c:v>
                </c:pt>
                <c:pt idx="22">
                  <c:v>2.52299E-2</c:v>
                </c:pt>
                <c:pt idx="23">
                  <c:v>2.4563600000000001E-2</c:v>
                </c:pt>
                <c:pt idx="24">
                  <c:v>2.41117E-2</c:v>
                </c:pt>
                <c:pt idx="25">
                  <c:v>2.3885099999999999E-2</c:v>
                </c:pt>
                <c:pt idx="26">
                  <c:v>2.3843799999999998E-2</c:v>
                </c:pt>
                <c:pt idx="27">
                  <c:v>2.39224E-2</c:v>
                </c:pt>
                <c:pt idx="28">
                  <c:v>2.4102599999999998E-2</c:v>
                </c:pt>
                <c:pt idx="29">
                  <c:v>2.4368500000000001E-2</c:v>
                </c:pt>
                <c:pt idx="30">
                  <c:v>2.4741800000000001E-2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F4-46D4-80E3-0334E08C2D51}"/>
            </c:ext>
          </c:extLst>
        </c:ser>
        <c:ser>
          <c:idx val="1"/>
          <c:order val="1"/>
          <c:tx>
            <c:strRef>
              <c:f>Imperfection!$C$8</c:f>
              <c:strCache>
                <c:ptCount val="1"/>
                <c:pt idx="0">
                  <c:v>Perfect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Imperfection!$B$10:$B$40</c:f>
              <c:numCache>
                <c:formatCode>General</c:formatCode>
                <c:ptCount val="31"/>
                <c:pt idx="0">
                  <c:v>0</c:v>
                </c:pt>
                <c:pt idx="1">
                  <c:v>1.23244</c:v>
                </c:pt>
                <c:pt idx="2">
                  <c:v>2.4640499999999999</c:v>
                </c:pt>
                <c:pt idx="3">
                  <c:v>4.3101000000000003</c:v>
                </c:pt>
                <c:pt idx="4">
                  <c:v>7.0849099999999998</c:v>
                </c:pt>
                <c:pt idx="5">
                  <c:v>11.266299999999999</c:v>
                </c:pt>
                <c:pt idx="6">
                  <c:v>13.6248</c:v>
                </c:pt>
                <c:pt idx="7">
                  <c:v>17.163399999999999</c:v>
                </c:pt>
                <c:pt idx="8">
                  <c:v>22.485600000000002</c:v>
                </c:pt>
                <c:pt idx="9">
                  <c:v>27.8125</c:v>
                </c:pt>
                <c:pt idx="10">
                  <c:v>32.968299999999999</c:v>
                </c:pt>
                <c:pt idx="11">
                  <c:v>38.526499999999999</c:v>
                </c:pt>
                <c:pt idx="12">
                  <c:v>39.853700000000003</c:v>
                </c:pt>
                <c:pt idx="13">
                  <c:v>41.180599999999998</c:v>
                </c:pt>
                <c:pt idx="14">
                  <c:v>43.168799999999997</c:v>
                </c:pt>
                <c:pt idx="15">
                  <c:v>46.148000000000003</c:v>
                </c:pt>
                <c:pt idx="16">
                  <c:v>49.124699999999997</c:v>
                </c:pt>
                <c:pt idx="17">
                  <c:v>52.101599999999998</c:v>
                </c:pt>
                <c:pt idx="18">
                  <c:v>55.078699999999998</c:v>
                </c:pt>
                <c:pt idx="19">
                  <c:v>58.058399999999999</c:v>
                </c:pt>
                <c:pt idx="20">
                  <c:v>61.041600000000003</c:v>
                </c:pt>
                <c:pt idx="21">
                  <c:v>64.029700000000005</c:v>
                </c:pt>
                <c:pt idx="22">
                  <c:v>67.022000000000006</c:v>
                </c:pt>
                <c:pt idx="23">
                  <c:v>70.018299999999996</c:v>
                </c:pt>
                <c:pt idx="24">
                  <c:v>73.018600000000006</c:v>
                </c:pt>
                <c:pt idx="25">
                  <c:v>76.023499999999999</c:v>
                </c:pt>
                <c:pt idx="26">
                  <c:v>80.535200000000003</c:v>
                </c:pt>
                <c:pt idx="27">
                  <c:v>85.058800000000005</c:v>
                </c:pt>
                <c:pt idx="28">
                  <c:v>89.589799999999997</c:v>
                </c:pt>
                <c:pt idx="29">
                  <c:v>93.763499999999993</c:v>
                </c:pt>
                <c:pt idx="30">
                  <c:v>98.299199999999999</c:v>
                </c:pt>
              </c:numCache>
            </c:numRef>
          </c:xVal>
          <c:yVal>
            <c:numRef>
              <c:f>Imperfection!$C$10:$C$40</c:f>
              <c:numCache>
                <c:formatCode>General</c:formatCode>
                <c:ptCount val="31"/>
                <c:pt idx="0">
                  <c:v>0</c:v>
                </c:pt>
                <c:pt idx="1">
                  <c:v>9.7113900000000003E-3</c:v>
                </c:pt>
                <c:pt idx="2">
                  <c:v>1.8843499999999999E-2</c:v>
                </c:pt>
                <c:pt idx="3">
                  <c:v>3.1506800000000001E-2</c:v>
                </c:pt>
                <c:pt idx="4">
                  <c:v>4.09056E-2</c:v>
                </c:pt>
                <c:pt idx="5">
                  <c:v>4.3752300000000001E-2</c:v>
                </c:pt>
                <c:pt idx="6">
                  <c:v>4.3619499999999999E-2</c:v>
                </c:pt>
                <c:pt idx="7">
                  <c:v>4.3055499999999997E-2</c:v>
                </c:pt>
                <c:pt idx="8">
                  <c:v>4.1103899999999999E-2</c:v>
                </c:pt>
                <c:pt idx="9">
                  <c:v>3.8865700000000003E-2</c:v>
                </c:pt>
                <c:pt idx="10">
                  <c:v>3.6612800000000001E-2</c:v>
                </c:pt>
                <c:pt idx="11">
                  <c:v>3.4152099999999998E-2</c:v>
                </c:pt>
                <c:pt idx="12">
                  <c:v>3.3564799999999999E-2</c:v>
                </c:pt>
                <c:pt idx="13">
                  <c:v>3.2970899999999997E-2</c:v>
                </c:pt>
                <c:pt idx="14">
                  <c:v>3.2063500000000002E-2</c:v>
                </c:pt>
                <c:pt idx="15">
                  <c:v>3.06775E-2</c:v>
                </c:pt>
                <c:pt idx="16">
                  <c:v>2.92854E-2</c:v>
                </c:pt>
                <c:pt idx="17">
                  <c:v>2.7898099999999999E-2</c:v>
                </c:pt>
                <c:pt idx="18">
                  <c:v>2.6527999999999999E-2</c:v>
                </c:pt>
                <c:pt idx="19">
                  <c:v>2.5206800000000001E-2</c:v>
                </c:pt>
                <c:pt idx="20">
                  <c:v>2.3975E-2</c:v>
                </c:pt>
                <c:pt idx="21">
                  <c:v>2.2869500000000001E-2</c:v>
                </c:pt>
                <c:pt idx="22">
                  <c:v>2.1920499999999999E-2</c:v>
                </c:pt>
                <c:pt idx="23">
                  <c:v>2.1151799999999998E-2</c:v>
                </c:pt>
                <c:pt idx="24">
                  <c:v>2.0579799999999999E-2</c:v>
                </c:pt>
                <c:pt idx="25">
                  <c:v>2.0176199999999998E-2</c:v>
                </c:pt>
                <c:pt idx="26">
                  <c:v>1.96566E-2</c:v>
                </c:pt>
                <c:pt idx="27">
                  <c:v>1.91389E-2</c:v>
                </c:pt>
                <c:pt idx="28">
                  <c:v>1.89047E-2</c:v>
                </c:pt>
                <c:pt idx="29">
                  <c:v>1.9008000000000001E-2</c:v>
                </c:pt>
                <c:pt idx="30">
                  <c:v>1.9503400000000001E-2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F4-46D4-80E3-0334E08C2D51}"/>
            </c:ext>
          </c:extLst>
        </c:ser>
        <c:ser>
          <c:idx val="2"/>
          <c:order val="2"/>
          <c:tx>
            <c:strRef>
              <c:f>Imperfection!$AF$41</c:f>
              <c:strCache>
                <c:ptCount val="1"/>
                <c:pt idx="0">
                  <c:v>EM1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ysDot"/>
              <a:miter lim="800000"/>
            </a:ln>
            <a:effectLst/>
          </c:spPr>
          <c:marker>
            <c:symbol val="none"/>
          </c:marker>
          <c:xVal>
            <c:numRef>
              <c:f>Imperfection!$AE$43:$AE$73</c:f>
              <c:numCache>
                <c:formatCode>General</c:formatCode>
                <c:ptCount val="31"/>
                <c:pt idx="0">
                  <c:v>0</c:v>
                </c:pt>
                <c:pt idx="1">
                  <c:v>1.2731600000000001</c:v>
                </c:pt>
                <c:pt idx="2">
                  <c:v>2.5453600000000001</c:v>
                </c:pt>
                <c:pt idx="3">
                  <c:v>4.4521699999999997</c:v>
                </c:pt>
                <c:pt idx="4">
                  <c:v>7.32</c:v>
                </c:pt>
                <c:pt idx="5">
                  <c:v>11.6235</c:v>
                </c:pt>
                <c:pt idx="6">
                  <c:v>15.932499999999999</c:v>
                </c:pt>
                <c:pt idx="7">
                  <c:v>16.877700000000001</c:v>
                </c:pt>
                <c:pt idx="8">
                  <c:v>17.834900000000001</c:v>
                </c:pt>
                <c:pt idx="9">
                  <c:v>18.782</c:v>
                </c:pt>
                <c:pt idx="10">
                  <c:v>20.1938</c:v>
                </c:pt>
                <c:pt idx="11">
                  <c:v>22.2956</c:v>
                </c:pt>
                <c:pt idx="12">
                  <c:v>24.378399999999999</c:v>
                </c:pt>
                <c:pt idx="13">
                  <c:v>25.410599999999999</c:v>
                </c:pt>
                <c:pt idx="14">
                  <c:v>26.4437</c:v>
                </c:pt>
                <c:pt idx="15">
                  <c:v>28.198399999999999</c:v>
                </c:pt>
                <c:pt idx="16">
                  <c:v>29.735099999999999</c:v>
                </c:pt>
                <c:pt idx="17">
                  <c:v>31.1144</c:v>
                </c:pt>
                <c:pt idx="18">
                  <c:v>32.567900000000002</c:v>
                </c:pt>
                <c:pt idx="19">
                  <c:v>34.058999999999997</c:v>
                </c:pt>
                <c:pt idx="20">
                  <c:v>35.490400000000001</c:v>
                </c:pt>
                <c:pt idx="21">
                  <c:v>36.927399999999999</c:v>
                </c:pt>
                <c:pt idx="22">
                  <c:v>38.437100000000001</c:v>
                </c:pt>
                <c:pt idx="23">
                  <c:v>40.029200000000003</c:v>
                </c:pt>
                <c:pt idx="24">
                  <c:v>41.613100000000003</c:v>
                </c:pt>
                <c:pt idx="25">
                  <c:v>43.145800000000001</c:v>
                </c:pt>
                <c:pt idx="26">
                  <c:v>44.688600000000001</c:v>
                </c:pt>
                <c:pt idx="27">
                  <c:v>46.258299999999998</c:v>
                </c:pt>
                <c:pt idx="28">
                  <c:v>47.834400000000002</c:v>
                </c:pt>
                <c:pt idx="29">
                  <c:v>49.404299999999999</c:v>
                </c:pt>
                <c:pt idx="30">
                  <c:v>50.976300000000002</c:v>
                </c:pt>
              </c:numCache>
            </c:numRef>
          </c:xVal>
          <c:yVal>
            <c:numRef>
              <c:f>Imperfection!$AF$43:$AF$73</c:f>
              <c:numCache>
                <c:formatCode>General</c:formatCode>
                <c:ptCount val="31"/>
                <c:pt idx="0">
                  <c:v>0</c:v>
                </c:pt>
                <c:pt idx="1">
                  <c:v>9.7876600000000001E-3</c:v>
                </c:pt>
                <c:pt idx="2">
                  <c:v>1.91348E-2</c:v>
                </c:pt>
                <c:pt idx="3">
                  <c:v>3.2061699999999999E-2</c:v>
                </c:pt>
                <c:pt idx="4">
                  <c:v>3.8522800000000003E-2</c:v>
                </c:pt>
                <c:pt idx="5">
                  <c:v>4.2603099999999998E-2</c:v>
                </c:pt>
                <c:pt idx="6">
                  <c:v>4.3681999999999999E-2</c:v>
                </c:pt>
                <c:pt idx="7">
                  <c:v>4.3546099999999997E-2</c:v>
                </c:pt>
                <c:pt idx="8">
                  <c:v>4.32494E-2</c:v>
                </c:pt>
                <c:pt idx="9">
                  <c:v>4.2838000000000001E-2</c:v>
                </c:pt>
                <c:pt idx="10">
                  <c:v>4.2077200000000002E-2</c:v>
                </c:pt>
                <c:pt idx="11">
                  <c:v>4.0511199999999997E-2</c:v>
                </c:pt>
                <c:pt idx="12">
                  <c:v>3.8720200000000003E-2</c:v>
                </c:pt>
                <c:pt idx="13">
                  <c:v>3.78567E-2</c:v>
                </c:pt>
                <c:pt idx="14">
                  <c:v>3.7004200000000001E-2</c:v>
                </c:pt>
                <c:pt idx="15">
                  <c:v>3.5487100000000001E-2</c:v>
                </c:pt>
                <c:pt idx="16">
                  <c:v>3.4002499999999998E-2</c:v>
                </c:pt>
                <c:pt idx="17">
                  <c:v>3.2781699999999997E-2</c:v>
                </c:pt>
                <c:pt idx="18">
                  <c:v>3.1826E-2</c:v>
                </c:pt>
                <c:pt idx="19">
                  <c:v>3.0587300000000001E-2</c:v>
                </c:pt>
                <c:pt idx="20">
                  <c:v>2.91422E-2</c:v>
                </c:pt>
                <c:pt idx="21">
                  <c:v>2.8299899999999999E-2</c:v>
                </c:pt>
                <c:pt idx="22">
                  <c:v>2.8039700000000001E-2</c:v>
                </c:pt>
                <c:pt idx="23">
                  <c:v>2.7789299999999999E-2</c:v>
                </c:pt>
                <c:pt idx="24">
                  <c:v>2.6829599999999999E-2</c:v>
                </c:pt>
                <c:pt idx="25">
                  <c:v>2.5374899999999999E-2</c:v>
                </c:pt>
                <c:pt idx="26">
                  <c:v>2.4164000000000001E-2</c:v>
                </c:pt>
                <c:pt idx="27">
                  <c:v>2.3287100000000002E-2</c:v>
                </c:pt>
                <c:pt idx="28">
                  <c:v>2.24865E-2</c:v>
                </c:pt>
                <c:pt idx="29">
                  <c:v>2.1625599999999998E-2</c:v>
                </c:pt>
                <c:pt idx="30">
                  <c:v>2.0724900000000001E-2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CC-4983-9AE1-EF961E7903B4}"/>
            </c:ext>
          </c:extLst>
        </c:ser>
        <c:ser>
          <c:idx val="3"/>
          <c:order val="3"/>
          <c:tx>
            <c:strRef>
              <c:f>Imperfection!$AI$41</c:f>
              <c:strCache>
                <c:ptCount val="1"/>
                <c:pt idx="0">
                  <c:v>EM2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Dot"/>
              <a:miter lim="800000"/>
            </a:ln>
            <a:effectLst/>
          </c:spPr>
          <c:marker>
            <c:symbol val="none"/>
          </c:marker>
          <c:xVal>
            <c:numRef>
              <c:f>Imperfection!$AH$43:$AH$73</c:f>
              <c:numCache>
                <c:formatCode>General</c:formatCode>
                <c:ptCount val="31"/>
                <c:pt idx="0">
                  <c:v>0</c:v>
                </c:pt>
                <c:pt idx="1">
                  <c:v>1.2722800000000001</c:v>
                </c:pt>
                <c:pt idx="2">
                  <c:v>2.54359</c:v>
                </c:pt>
                <c:pt idx="3">
                  <c:v>4.4490699999999999</c:v>
                </c:pt>
                <c:pt idx="4">
                  <c:v>7.3146500000000003</c:v>
                </c:pt>
                <c:pt idx="5">
                  <c:v>11.6152</c:v>
                </c:pt>
                <c:pt idx="6">
                  <c:v>15.932499999999999</c:v>
                </c:pt>
                <c:pt idx="7">
                  <c:v>16.887599999999999</c:v>
                </c:pt>
                <c:pt idx="8">
                  <c:v>17.843</c:v>
                </c:pt>
                <c:pt idx="9">
                  <c:v>18.7897</c:v>
                </c:pt>
                <c:pt idx="10">
                  <c:v>20.200399999999998</c:v>
                </c:pt>
                <c:pt idx="11">
                  <c:v>21.590699999999998</c:v>
                </c:pt>
                <c:pt idx="12">
                  <c:v>22.9666</c:v>
                </c:pt>
                <c:pt idx="13">
                  <c:v>24.341699999999999</c:v>
                </c:pt>
                <c:pt idx="14">
                  <c:v>25.7193</c:v>
                </c:pt>
                <c:pt idx="15">
                  <c:v>27.291799999999999</c:v>
                </c:pt>
                <c:pt idx="16">
                  <c:v>27.669599999999999</c:v>
                </c:pt>
                <c:pt idx="17">
                  <c:v>28.044899999999998</c:v>
                </c:pt>
                <c:pt idx="18">
                  <c:v>28.6021</c:v>
                </c:pt>
                <c:pt idx="19">
                  <c:v>29.4224</c:v>
                </c:pt>
                <c:pt idx="20">
                  <c:v>30.220700000000001</c:v>
                </c:pt>
                <c:pt idx="21">
                  <c:v>31.010100000000001</c:v>
                </c:pt>
                <c:pt idx="22">
                  <c:v>31.8066</c:v>
                </c:pt>
                <c:pt idx="23">
                  <c:v>32.622199999999999</c:v>
                </c:pt>
                <c:pt idx="24">
                  <c:v>33.441400000000002</c:v>
                </c:pt>
                <c:pt idx="25">
                  <c:v>34.233600000000003</c:v>
                </c:pt>
                <c:pt idx="26">
                  <c:v>35.052100000000003</c:v>
                </c:pt>
                <c:pt idx="27">
                  <c:v>35.877099999999999</c:v>
                </c:pt>
                <c:pt idx="28">
                  <c:v>36.6387</c:v>
                </c:pt>
                <c:pt idx="29">
                  <c:v>37.442500000000003</c:v>
                </c:pt>
                <c:pt idx="30">
                  <c:v>38.288400000000003</c:v>
                </c:pt>
              </c:numCache>
            </c:numRef>
          </c:xVal>
          <c:yVal>
            <c:numRef>
              <c:f>Imperfection!$AI$43:$AI$73</c:f>
              <c:numCache>
                <c:formatCode>General</c:formatCode>
                <c:ptCount val="31"/>
                <c:pt idx="0">
                  <c:v>0</c:v>
                </c:pt>
                <c:pt idx="1">
                  <c:v>9.7877099999999998E-3</c:v>
                </c:pt>
                <c:pt idx="2">
                  <c:v>1.9134999999999999E-2</c:v>
                </c:pt>
                <c:pt idx="3">
                  <c:v>3.2065299999999998E-2</c:v>
                </c:pt>
                <c:pt idx="4">
                  <c:v>3.8541899999999997E-2</c:v>
                </c:pt>
                <c:pt idx="5">
                  <c:v>4.2622399999999998E-2</c:v>
                </c:pt>
                <c:pt idx="6">
                  <c:v>4.3694700000000003E-2</c:v>
                </c:pt>
                <c:pt idx="7">
                  <c:v>4.3558699999999999E-2</c:v>
                </c:pt>
                <c:pt idx="8">
                  <c:v>4.3249099999999999E-2</c:v>
                </c:pt>
                <c:pt idx="9">
                  <c:v>4.2835400000000003E-2</c:v>
                </c:pt>
                <c:pt idx="10">
                  <c:v>4.2070799999999998E-2</c:v>
                </c:pt>
                <c:pt idx="11">
                  <c:v>4.1077799999999998E-2</c:v>
                </c:pt>
                <c:pt idx="12">
                  <c:v>3.9929699999999999E-2</c:v>
                </c:pt>
                <c:pt idx="13">
                  <c:v>3.8759500000000002E-2</c:v>
                </c:pt>
                <c:pt idx="14">
                  <c:v>3.76026E-2</c:v>
                </c:pt>
                <c:pt idx="15">
                  <c:v>3.6274599999999997E-2</c:v>
                </c:pt>
                <c:pt idx="16">
                  <c:v>3.5957700000000002E-2</c:v>
                </c:pt>
                <c:pt idx="17">
                  <c:v>3.5640100000000001E-2</c:v>
                </c:pt>
                <c:pt idx="18">
                  <c:v>3.51536E-2</c:v>
                </c:pt>
                <c:pt idx="19">
                  <c:v>3.4392899999999997E-2</c:v>
                </c:pt>
                <c:pt idx="20">
                  <c:v>3.3611799999999997E-2</c:v>
                </c:pt>
                <c:pt idx="21">
                  <c:v>3.2876000000000002E-2</c:v>
                </c:pt>
                <c:pt idx="22">
                  <c:v>3.2239900000000002E-2</c:v>
                </c:pt>
                <c:pt idx="23">
                  <c:v>3.1709099999999997E-2</c:v>
                </c:pt>
                <c:pt idx="24">
                  <c:v>3.11163E-2</c:v>
                </c:pt>
                <c:pt idx="25">
                  <c:v>3.0513999999999999E-2</c:v>
                </c:pt>
                <c:pt idx="26">
                  <c:v>3.0108800000000002E-2</c:v>
                </c:pt>
                <c:pt idx="27">
                  <c:v>2.95395E-2</c:v>
                </c:pt>
                <c:pt idx="28">
                  <c:v>2.8697400000000001E-2</c:v>
                </c:pt>
                <c:pt idx="29">
                  <c:v>2.82309E-2</c:v>
                </c:pt>
                <c:pt idx="30">
                  <c:v>2.7928000000000001E-2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CC-4983-9AE1-EF961E7903B4}"/>
            </c:ext>
          </c:extLst>
        </c:ser>
        <c:ser>
          <c:idx val="4"/>
          <c:order val="4"/>
          <c:tx>
            <c:strRef>
              <c:f>Imperfection!$AL$41</c:f>
              <c:strCache>
                <c:ptCount val="1"/>
                <c:pt idx="0">
                  <c:v>EM3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DotDot"/>
              <a:miter lim="800000"/>
            </a:ln>
            <a:effectLst/>
          </c:spPr>
          <c:marker>
            <c:symbol val="none"/>
          </c:marker>
          <c:xVal>
            <c:numRef>
              <c:f>Imperfection!$AK$43:$AK$73</c:f>
              <c:numCache>
                <c:formatCode>General</c:formatCode>
                <c:ptCount val="31"/>
                <c:pt idx="0">
                  <c:v>0</c:v>
                </c:pt>
                <c:pt idx="1">
                  <c:v>1.30124</c:v>
                </c:pt>
                <c:pt idx="2">
                  <c:v>2.6015000000000001</c:v>
                </c:pt>
                <c:pt idx="3">
                  <c:v>4.5504499999999997</c:v>
                </c:pt>
                <c:pt idx="4">
                  <c:v>7.4820399999999996</c:v>
                </c:pt>
                <c:pt idx="5">
                  <c:v>11.881600000000001</c:v>
                </c:pt>
                <c:pt idx="6">
                  <c:v>14.357100000000001</c:v>
                </c:pt>
                <c:pt idx="7">
                  <c:v>15.7493</c:v>
                </c:pt>
                <c:pt idx="8">
                  <c:v>16.529399999999999</c:v>
                </c:pt>
                <c:pt idx="9">
                  <c:v>18.174600000000002</c:v>
                </c:pt>
                <c:pt idx="10">
                  <c:v>19.214700000000001</c:v>
                </c:pt>
                <c:pt idx="11">
                  <c:v>20.2456</c:v>
                </c:pt>
                <c:pt idx="12">
                  <c:v>21.7761</c:v>
                </c:pt>
                <c:pt idx="13">
                  <c:v>23.283999999999999</c:v>
                </c:pt>
                <c:pt idx="14">
                  <c:v>24.787199999999999</c:v>
                </c:pt>
                <c:pt idx="15">
                  <c:v>27.0809</c:v>
                </c:pt>
                <c:pt idx="16">
                  <c:v>27.645099999999999</c:v>
                </c:pt>
                <c:pt idx="17">
                  <c:v>28.209299999999999</c:v>
                </c:pt>
                <c:pt idx="18">
                  <c:v>29.056000000000001</c:v>
                </c:pt>
                <c:pt idx="19">
                  <c:v>30.357099999999999</c:v>
                </c:pt>
                <c:pt idx="20">
                  <c:v>31.5671</c:v>
                </c:pt>
                <c:pt idx="21">
                  <c:v>32.738399999999999</c:v>
                </c:pt>
                <c:pt idx="22">
                  <c:v>33.926699999999997</c:v>
                </c:pt>
                <c:pt idx="23">
                  <c:v>35.145699999999998</c:v>
                </c:pt>
                <c:pt idx="24">
                  <c:v>36.004100000000001</c:v>
                </c:pt>
                <c:pt idx="25">
                  <c:v>36.605699999999999</c:v>
                </c:pt>
                <c:pt idx="26">
                  <c:v>37.210599999999999</c:v>
                </c:pt>
                <c:pt idx="27">
                  <c:v>37.8157</c:v>
                </c:pt>
                <c:pt idx="28">
                  <c:v>38.427100000000003</c:v>
                </c:pt>
                <c:pt idx="29">
                  <c:v>39.360199999999999</c:v>
                </c:pt>
                <c:pt idx="30">
                  <c:v>40.314900000000002</c:v>
                </c:pt>
              </c:numCache>
            </c:numRef>
          </c:xVal>
          <c:yVal>
            <c:numRef>
              <c:f>Imperfection!$AL$43:$AL$73</c:f>
              <c:numCache>
                <c:formatCode>General</c:formatCode>
                <c:ptCount val="31"/>
                <c:pt idx="0">
                  <c:v>0</c:v>
                </c:pt>
                <c:pt idx="1">
                  <c:v>9.7836399999999997E-3</c:v>
                </c:pt>
                <c:pt idx="2">
                  <c:v>1.9119000000000001E-2</c:v>
                </c:pt>
                <c:pt idx="3">
                  <c:v>3.1954200000000002E-2</c:v>
                </c:pt>
                <c:pt idx="4">
                  <c:v>3.8033299999999999E-2</c:v>
                </c:pt>
                <c:pt idx="5">
                  <c:v>4.2025600000000003E-2</c:v>
                </c:pt>
                <c:pt idx="6">
                  <c:v>4.2965299999999998E-2</c:v>
                </c:pt>
                <c:pt idx="7">
                  <c:v>4.3182900000000003E-2</c:v>
                </c:pt>
                <c:pt idx="8">
                  <c:v>4.3213700000000001E-2</c:v>
                </c:pt>
                <c:pt idx="9">
                  <c:v>4.2959600000000001E-2</c:v>
                </c:pt>
                <c:pt idx="10">
                  <c:v>4.2581500000000001E-2</c:v>
                </c:pt>
                <c:pt idx="11">
                  <c:v>4.2099999999999999E-2</c:v>
                </c:pt>
                <c:pt idx="12">
                  <c:v>4.1162200000000003E-2</c:v>
                </c:pt>
                <c:pt idx="13">
                  <c:v>3.9984499999999999E-2</c:v>
                </c:pt>
                <c:pt idx="14">
                  <c:v>3.8740200000000002E-2</c:v>
                </c:pt>
                <c:pt idx="15">
                  <c:v>3.68338E-2</c:v>
                </c:pt>
                <c:pt idx="16">
                  <c:v>3.6383600000000002E-2</c:v>
                </c:pt>
                <c:pt idx="17">
                  <c:v>3.5936799999999998E-2</c:v>
                </c:pt>
                <c:pt idx="18">
                  <c:v>3.5267199999999999E-2</c:v>
                </c:pt>
                <c:pt idx="19">
                  <c:v>3.4190600000000002E-2</c:v>
                </c:pt>
                <c:pt idx="20">
                  <c:v>3.3114400000000002E-2</c:v>
                </c:pt>
                <c:pt idx="21">
                  <c:v>3.2079000000000003E-2</c:v>
                </c:pt>
                <c:pt idx="22">
                  <c:v>3.1167799999999999E-2</c:v>
                </c:pt>
                <c:pt idx="23">
                  <c:v>3.0291200000000001E-2</c:v>
                </c:pt>
                <c:pt idx="24">
                  <c:v>2.9602799999999999E-2</c:v>
                </c:pt>
                <c:pt idx="25">
                  <c:v>2.9107999999999998E-2</c:v>
                </c:pt>
                <c:pt idx="26">
                  <c:v>2.8618000000000001E-2</c:v>
                </c:pt>
                <c:pt idx="27">
                  <c:v>2.8172599999999999E-2</c:v>
                </c:pt>
                <c:pt idx="28">
                  <c:v>2.77991E-2</c:v>
                </c:pt>
                <c:pt idx="29">
                  <c:v>2.7339700000000002E-2</c:v>
                </c:pt>
                <c:pt idx="30">
                  <c:v>2.6947200000000001E-2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CC-4983-9AE1-EF961E7903B4}"/>
            </c:ext>
          </c:extLst>
        </c:ser>
        <c:ser>
          <c:idx val="5"/>
          <c:order val="5"/>
          <c:tx>
            <c:strRef>
              <c:f>Imperfection!$AO$41</c:f>
              <c:strCache>
                <c:ptCount val="1"/>
                <c:pt idx="0">
                  <c:v>EM4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dash"/>
              <a:miter lim="800000"/>
            </a:ln>
            <a:effectLst/>
          </c:spPr>
          <c:marker>
            <c:symbol val="none"/>
          </c:marker>
          <c:xVal>
            <c:numRef>
              <c:f>Imperfection!$AN$43:$AN$73</c:f>
              <c:numCache>
                <c:formatCode>General</c:formatCode>
                <c:ptCount val="31"/>
                <c:pt idx="0">
                  <c:v>0</c:v>
                </c:pt>
                <c:pt idx="1">
                  <c:v>1.3001799999999999</c:v>
                </c:pt>
                <c:pt idx="2">
                  <c:v>2.59938</c:v>
                </c:pt>
                <c:pt idx="3">
                  <c:v>4.5467300000000002</c:v>
                </c:pt>
                <c:pt idx="4">
                  <c:v>7.4758899999999997</c:v>
                </c:pt>
                <c:pt idx="5">
                  <c:v>11.8718</c:v>
                </c:pt>
                <c:pt idx="6">
                  <c:v>16.270900000000001</c:v>
                </c:pt>
                <c:pt idx="7">
                  <c:v>17.345199999999998</c:v>
                </c:pt>
                <c:pt idx="8">
                  <c:v>18.334399999999999</c:v>
                </c:pt>
                <c:pt idx="9">
                  <c:v>19.305199999999999</c:v>
                </c:pt>
                <c:pt idx="10">
                  <c:v>20.75</c:v>
                </c:pt>
                <c:pt idx="11">
                  <c:v>22.897600000000001</c:v>
                </c:pt>
                <c:pt idx="12">
                  <c:v>25.027200000000001</c:v>
                </c:pt>
                <c:pt idx="13">
                  <c:v>27.175799999999999</c:v>
                </c:pt>
                <c:pt idx="14">
                  <c:v>27.704000000000001</c:v>
                </c:pt>
                <c:pt idx="15">
                  <c:v>28.232199999999999</c:v>
                </c:pt>
                <c:pt idx="16">
                  <c:v>29.0245</c:v>
                </c:pt>
                <c:pt idx="17">
                  <c:v>30.234400000000001</c:v>
                </c:pt>
                <c:pt idx="18">
                  <c:v>31.366499999999998</c:v>
                </c:pt>
                <c:pt idx="19">
                  <c:v>32.486800000000002</c:v>
                </c:pt>
                <c:pt idx="20">
                  <c:v>33.597900000000003</c:v>
                </c:pt>
                <c:pt idx="21">
                  <c:v>34.699300000000001</c:v>
                </c:pt>
                <c:pt idx="22">
                  <c:v>35.814799999999998</c:v>
                </c:pt>
                <c:pt idx="23">
                  <c:v>36.972099999999998</c:v>
                </c:pt>
                <c:pt idx="24">
                  <c:v>38.751399999999997</c:v>
                </c:pt>
                <c:pt idx="25">
                  <c:v>40.506900000000002</c:v>
                </c:pt>
                <c:pt idx="26">
                  <c:v>42.266100000000002</c:v>
                </c:pt>
                <c:pt idx="27">
                  <c:v>44.063600000000001</c:v>
                </c:pt>
                <c:pt idx="28">
                  <c:v>45.865600000000001</c:v>
                </c:pt>
                <c:pt idx="29">
                  <c:v>47.653599999999997</c:v>
                </c:pt>
                <c:pt idx="30">
                  <c:v>49.444400000000002</c:v>
                </c:pt>
              </c:numCache>
            </c:numRef>
          </c:xVal>
          <c:yVal>
            <c:numRef>
              <c:f>Imperfection!$AO$43:$AO$73</c:f>
              <c:numCache>
                <c:formatCode>General</c:formatCode>
                <c:ptCount val="31"/>
                <c:pt idx="0">
                  <c:v>0</c:v>
                </c:pt>
                <c:pt idx="1">
                  <c:v>9.7837299999999992E-3</c:v>
                </c:pt>
                <c:pt idx="2">
                  <c:v>1.9119400000000002E-2</c:v>
                </c:pt>
                <c:pt idx="3">
                  <c:v>3.1958300000000002E-2</c:v>
                </c:pt>
                <c:pt idx="4">
                  <c:v>3.8056199999999998E-2</c:v>
                </c:pt>
                <c:pt idx="5">
                  <c:v>4.2052300000000001E-2</c:v>
                </c:pt>
                <c:pt idx="6">
                  <c:v>4.3213599999999998E-2</c:v>
                </c:pt>
                <c:pt idx="7">
                  <c:v>4.3159200000000002E-2</c:v>
                </c:pt>
                <c:pt idx="8">
                  <c:v>4.2912899999999997E-2</c:v>
                </c:pt>
                <c:pt idx="9">
                  <c:v>4.2539500000000001E-2</c:v>
                </c:pt>
                <c:pt idx="10">
                  <c:v>4.18187E-2</c:v>
                </c:pt>
                <c:pt idx="11">
                  <c:v>4.02707E-2</c:v>
                </c:pt>
                <c:pt idx="12">
                  <c:v>3.84993E-2</c:v>
                </c:pt>
                <c:pt idx="13">
                  <c:v>3.6724399999999997E-2</c:v>
                </c:pt>
                <c:pt idx="14">
                  <c:v>3.6303599999999998E-2</c:v>
                </c:pt>
                <c:pt idx="15">
                  <c:v>3.5886000000000001E-2</c:v>
                </c:pt>
                <c:pt idx="16">
                  <c:v>3.52571E-2</c:v>
                </c:pt>
                <c:pt idx="17">
                  <c:v>3.4255300000000002E-2</c:v>
                </c:pt>
                <c:pt idx="18">
                  <c:v>3.3289300000000001E-2</c:v>
                </c:pt>
                <c:pt idx="19">
                  <c:v>3.2323699999999997E-2</c:v>
                </c:pt>
                <c:pt idx="20">
                  <c:v>3.13318E-2</c:v>
                </c:pt>
                <c:pt idx="21">
                  <c:v>3.0376500000000001E-2</c:v>
                </c:pt>
                <c:pt idx="22">
                  <c:v>2.96125E-2</c:v>
                </c:pt>
                <c:pt idx="23">
                  <c:v>2.90154E-2</c:v>
                </c:pt>
                <c:pt idx="24">
                  <c:v>2.79657E-2</c:v>
                </c:pt>
                <c:pt idx="25">
                  <c:v>2.66173E-2</c:v>
                </c:pt>
                <c:pt idx="26">
                  <c:v>2.5491E-2</c:v>
                </c:pt>
                <c:pt idx="27">
                  <c:v>2.45837E-2</c:v>
                </c:pt>
                <c:pt idx="28">
                  <c:v>2.35561E-2</c:v>
                </c:pt>
                <c:pt idx="29">
                  <c:v>2.2384100000000001E-2</c:v>
                </c:pt>
                <c:pt idx="30">
                  <c:v>2.1234300000000001E-2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2CC-4983-9AE1-EF961E7903B4}"/>
            </c:ext>
          </c:extLst>
        </c:ser>
        <c:ser>
          <c:idx val="6"/>
          <c:order val="6"/>
          <c:tx>
            <c:strRef>
              <c:f>Imperfection!$AR$41</c:f>
              <c:strCache>
                <c:ptCount val="1"/>
                <c:pt idx="0">
                  <c:v>EM5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Dot"/>
              <a:miter lim="800000"/>
            </a:ln>
            <a:effectLst/>
          </c:spPr>
          <c:marker>
            <c:symbol val="none"/>
          </c:marker>
          <c:xVal>
            <c:numRef>
              <c:f>Imperfection!$AQ$43:$AQ$73</c:f>
              <c:numCache>
                <c:formatCode>General</c:formatCode>
                <c:ptCount val="31"/>
                <c:pt idx="0">
                  <c:v>0</c:v>
                </c:pt>
                <c:pt idx="1">
                  <c:v>1.25824</c:v>
                </c:pt>
                <c:pt idx="2">
                  <c:v>2.5155400000000001</c:v>
                </c:pt>
                <c:pt idx="3">
                  <c:v>4.4000399999999997</c:v>
                </c:pt>
                <c:pt idx="4">
                  <c:v>7.2347700000000001</c:v>
                </c:pt>
                <c:pt idx="5">
                  <c:v>11.4887</c:v>
                </c:pt>
                <c:pt idx="6">
                  <c:v>17.948899999999998</c:v>
                </c:pt>
                <c:pt idx="7">
                  <c:v>19.3977</c:v>
                </c:pt>
                <c:pt idx="8">
                  <c:v>20.804400000000001</c:v>
                </c:pt>
                <c:pt idx="9">
                  <c:v>22.197199999999999</c:v>
                </c:pt>
                <c:pt idx="10">
                  <c:v>23.571200000000001</c:v>
                </c:pt>
                <c:pt idx="11">
                  <c:v>25.624300000000002</c:v>
                </c:pt>
                <c:pt idx="12">
                  <c:v>27.677</c:v>
                </c:pt>
                <c:pt idx="13">
                  <c:v>28.1844</c:v>
                </c:pt>
                <c:pt idx="14">
                  <c:v>28.6919</c:v>
                </c:pt>
                <c:pt idx="15">
                  <c:v>29.453299999999999</c:v>
                </c:pt>
                <c:pt idx="16">
                  <c:v>30.619800000000001</c:v>
                </c:pt>
                <c:pt idx="17">
                  <c:v>31.699300000000001</c:v>
                </c:pt>
                <c:pt idx="18">
                  <c:v>32.735799999999998</c:v>
                </c:pt>
                <c:pt idx="19">
                  <c:v>33.764299999999999</c:v>
                </c:pt>
                <c:pt idx="20">
                  <c:v>34.831499999999998</c:v>
                </c:pt>
                <c:pt idx="21">
                  <c:v>35.946100000000001</c:v>
                </c:pt>
                <c:pt idx="22">
                  <c:v>37.053600000000003</c:v>
                </c:pt>
                <c:pt idx="23">
                  <c:v>38.1265</c:v>
                </c:pt>
                <c:pt idx="24">
                  <c:v>39.195599999999999</c:v>
                </c:pt>
                <c:pt idx="25">
                  <c:v>40.291400000000003</c:v>
                </c:pt>
                <c:pt idx="26">
                  <c:v>41.421799999999998</c:v>
                </c:pt>
                <c:pt idx="27">
                  <c:v>43.176099999999998</c:v>
                </c:pt>
                <c:pt idx="28">
                  <c:v>44.947099999999999</c:v>
                </c:pt>
                <c:pt idx="29">
                  <c:v>46.6584</c:v>
                </c:pt>
                <c:pt idx="30">
                  <c:v>48.376300000000001</c:v>
                </c:pt>
              </c:numCache>
            </c:numRef>
          </c:xVal>
          <c:yVal>
            <c:numRef>
              <c:f>Imperfection!$AR$43:$AR$73</c:f>
              <c:numCache>
                <c:formatCode>General</c:formatCode>
                <c:ptCount val="31"/>
                <c:pt idx="0">
                  <c:v>0</c:v>
                </c:pt>
                <c:pt idx="1">
                  <c:v>9.7908000000000005E-3</c:v>
                </c:pt>
                <c:pt idx="2">
                  <c:v>1.91472E-2</c:v>
                </c:pt>
                <c:pt idx="3">
                  <c:v>3.2112599999999998E-2</c:v>
                </c:pt>
                <c:pt idx="4">
                  <c:v>3.8750399999999997E-2</c:v>
                </c:pt>
                <c:pt idx="5">
                  <c:v>4.2889499999999997E-2</c:v>
                </c:pt>
                <c:pt idx="6">
                  <c:v>4.3792699999999997E-2</c:v>
                </c:pt>
                <c:pt idx="7">
                  <c:v>4.3416700000000003E-2</c:v>
                </c:pt>
                <c:pt idx="8">
                  <c:v>4.2783500000000002E-2</c:v>
                </c:pt>
                <c:pt idx="9">
                  <c:v>4.2016199999999997E-2</c:v>
                </c:pt>
                <c:pt idx="10">
                  <c:v>4.1058400000000002E-2</c:v>
                </c:pt>
                <c:pt idx="11">
                  <c:v>3.92903E-2</c:v>
                </c:pt>
                <c:pt idx="12">
                  <c:v>3.7503700000000001E-2</c:v>
                </c:pt>
                <c:pt idx="13">
                  <c:v>3.7078699999999999E-2</c:v>
                </c:pt>
                <c:pt idx="14">
                  <c:v>3.6657500000000003E-2</c:v>
                </c:pt>
                <c:pt idx="15">
                  <c:v>3.6025300000000003E-2</c:v>
                </c:pt>
                <c:pt idx="16">
                  <c:v>3.50076E-2</c:v>
                </c:pt>
                <c:pt idx="17">
                  <c:v>3.3986200000000001E-2</c:v>
                </c:pt>
                <c:pt idx="18">
                  <c:v>3.2932200000000002E-2</c:v>
                </c:pt>
                <c:pt idx="19">
                  <c:v>3.19954E-2</c:v>
                </c:pt>
                <c:pt idx="20">
                  <c:v>3.1283100000000001E-2</c:v>
                </c:pt>
                <c:pt idx="21">
                  <c:v>3.0617399999999999E-2</c:v>
                </c:pt>
                <c:pt idx="22">
                  <c:v>2.9700399999999998E-2</c:v>
                </c:pt>
                <c:pt idx="23">
                  <c:v>2.8624900000000002E-2</c:v>
                </c:pt>
                <c:pt idx="24">
                  <c:v>2.7756400000000001E-2</c:v>
                </c:pt>
                <c:pt idx="25">
                  <c:v>2.72529E-2</c:v>
                </c:pt>
                <c:pt idx="26">
                  <c:v>2.70058E-2</c:v>
                </c:pt>
                <c:pt idx="27">
                  <c:v>2.6693999999999999E-2</c:v>
                </c:pt>
                <c:pt idx="28">
                  <c:v>2.57124E-2</c:v>
                </c:pt>
                <c:pt idx="29">
                  <c:v>2.4287300000000001E-2</c:v>
                </c:pt>
                <c:pt idx="30">
                  <c:v>2.2946100000000001E-2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2CC-4983-9AE1-EF961E790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38159"/>
        <c:axId val="56639599"/>
      </c:scatterChart>
      <c:valAx>
        <c:axId val="56638159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Displacement</a:t>
                </a:r>
                <a:r>
                  <a:rPr lang="en-MY" baseline="0"/>
                  <a:t> (mm)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39599"/>
        <c:crosses val="autoZero"/>
        <c:crossBetween val="midCat"/>
      </c:valAx>
      <c:valAx>
        <c:axId val="566395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Pressure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38159"/>
        <c:crosses val="autoZero"/>
        <c:crossBetween val="midCat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791776027996496E-2"/>
          <c:y val="5.0925925925925923E-2"/>
          <c:w val="0.89031933508311456"/>
          <c:h val="0.8129476523767862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Imperfection!$I$8</c:f>
              <c:strCache>
                <c:ptCount val="1"/>
                <c:pt idx="0">
                  <c:v>Perfect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Imperfection!$H$10:$H$40</c:f>
              <c:numCache>
                <c:formatCode>General</c:formatCode>
                <c:ptCount val="31"/>
                <c:pt idx="0">
                  <c:v>0</c:v>
                </c:pt>
                <c:pt idx="1">
                  <c:v>8.9930399999999994E-2</c:v>
                </c:pt>
                <c:pt idx="2">
                  <c:v>0.176038</c:v>
                </c:pt>
                <c:pt idx="3">
                  <c:v>0.29772500000000002</c:v>
                </c:pt>
                <c:pt idx="4">
                  <c:v>0.46248800000000001</c:v>
                </c:pt>
                <c:pt idx="5">
                  <c:v>0.66722199999999998</c:v>
                </c:pt>
                <c:pt idx="6">
                  <c:v>1.1205400000000001</c:v>
                </c:pt>
                <c:pt idx="7">
                  <c:v>1.8305499999999999</c:v>
                </c:pt>
                <c:pt idx="8">
                  <c:v>2.5744699999999998</c:v>
                </c:pt>
                <c:pt idx="9">
                  <c:v>2.5670899999999999</c:v>
                </c:pt>
                <c:pt idx="10">
                  <c:v>2.4052899999999999</c:v>
                </c:pt>
                <c:pt idx="11">
                  <c:v>2.17666</c:v>
                </c:pt>
                <c:pt idx="12">
                  <c:v>1.71699</c:v>
                </c:pt>
                <c:pt idx="13">
                  <c:v>1.16388</c:v>
                </c:pt>
                <c:pt idx="14">
                  <c:v>0.54961000000000004</c:v>
                </c:pt>
                <c:pt idx="15">
                  <c:v>-0.100202</c:v>
                </c:pt>
                <c:pt idx="16">
                  <c:v>-0.76967600000000003</c:v>
                </c:pt>
                <c:pt idx="17">
                  <c:v>-1.44936</c:v>
                </c:pt>
                <c:pt idx="18">
                  <c:v>-2.1320899999999998</c:v>
                </c:pt>
                <c:pt idx="19">
                  <c:v>-2.8172000000000001</c:v>
                </c:pt>
                <c:pt idx="20">
                  <c:v>-3.5032199999999998</c:v>
                </c:pt>
                <c:pt idx="21">
                  <c:v>-4.1935900000000004</c:v>
                </c:pt>
                <c:pt idx="22">
                  <c:v>-4.8892600000000002</c:v>
                </c:pt>
                <c:pt idx="23">
                  <c:v>-5.59476</c:v>
                </c:pt>
                <c:pt idx="24">
                  <c:v>-6.3136200000000002</c:v>
                </c:pt>
                <c:pt idx="25">
                  <c:v>-7.0476799999999997</c:v>
                </c:pt>
                <c:pt idx="26">
                  <c:v>-7.7972700000000001</c:v>
                </c:pt>
                <c:pt idx="27">
                  <c:v>-8.5585799999999992</c:v>
                </c:pt>
                <c:pt idx="28">
                  <c:v>-9.3294499999999996</c:v>
                </c:pt>
                <c:pt idx="29">
                  <c:v>-10.1066</c:v>
                </c:pt>
                <c:pt idx="30">
                  <c:v>-10.886900000000001</c:v>
                </c:pt>
              </c:numCache>
            </c:numRef>
          </c:xVal>
          <c:yVal>
            <c:numRef>
              <c:f>Imperfection!$I$10:$I$40</c:f>
              <c:numCache>
                <c:formatCode>General</c:formatCode>
                <c:ptCount val="31"/>
                <c:pt idx="0">
                  <c:v>0</c:v>
                </c:pt>
                <c:pt idx="1">
                  <c:v>1.00821E-2</c:v>
                </c:pt>
                <c:pt idx="2">
                  <c:v>2.0315799999999998E-2</c:v>
                </c:pt>
                <c:pt idx="3">
                  <c:v>3.5943200000000002E-2</c:v>
                </c:pt>
                <c:pt idx="4">
                  <c:v>5.99745E-2</c:v>
                </c:pt>
                <c:pt idx="5">
                  <c:v>9.7127400000000003E-2</c:v>
                </c:pt>
                <c:pt idx="6">
                  <c:v>0.13650899999999999</c:v>
                </c:pt>
                <c:pt idx="7">
                  <c:v>0.16950599999999999</c:v>
                </c:pt>
                <c:pt idx="8">
                  <c:v>0.19428899999999999</c:v>
                </c:pt>
                <c:pt idx="9">
                  <c:v>0.204681</c:v>
                </c:pt>
                <c:pt idx="10">
                  <c:v>0.20635000000000001</c:v>
                </c:pt>
                <c:pt idx="11">
                  <c:v>0.20743800000000001</c:v>
                </c:pt>
                <c:pt idx="12">
                  <c:v>0.20817099999999999</c:v>
                </c:pt>
                <c:pt idx="13">
                  <c:v>0.208095</c:v>
                </c:pt>
                <c:pt idx="14">
                  <c:v>0.207401</c:v>
                </c:pt>
                <c:pt idx="15">
                  <c:v>0.206284</c:v>
                </c:pt>
                <c:pt idx="16">
                  <c:v>0.20491899999999999</c:v>
                </c:pt>
                <c:pt idx="17">
                  <c:v>0.203434</c:v>
                </c:pt>
                <c:pt idx="18">
                  <c:v>0.20197200000000001</c:v>
                </c:pt>
                <c:pt idx="19">
                  <c:v>0.20060600000000001</c:v>
                </c:pt>
                <c:pt idx="20">
                  <c:v>0.19936100000000001</c:v>
                </c:pt>
                <c:pt idx="21">
                  <c:v>0.19819000000000001</c:v>
                </c:pt>
                <c:pt idx="22">
                  <c:v>0.19711400000000001</c:v>
                </c:pt>
                <c:pt idx="23">
                  <c:v>0.19600799999999999</c:v>
                </c:pt>
                <c:pt idx="24">
                  <c:v>0.19475999999999999</c:v>
                </c:pt>
                <c:pt idx="25">
                  <c:v>0.19328400000000001</c:v>
                </c:pt>
                <c:pt idx="26">
                  <c:v>0.19153800000000001</c:v>
                </c:pt>
                <c:pt idx="27">
                  <c:v>0.18957399999999999</c:v>
                </c:pt>
                <c:pt idx="28">
                  <c:v>0.187446</c:v>
                </c:pt>
                <c:pt idx="29">
                  <c:v>0.18526200000000001</c:v>
                </c:pt>
                <c:pt idx="30">
                  <c:v>0.18312200000000001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53-41FE-BB57-D8F75830D863}"/>
            </c:ext>
          </c:extLst>
        </c:ser>
        <c:ser>
          <c:idx val="1"/>
          <c:order val="1"/>
          <c:tx>
            <c:strRef>
              <c:f>Imperfection!$L$8</c:f>
              <c:strCache>
                <c:ptCount val="1"/>
                <c:pt idx="0">
                  <c:v>Class C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Imperfection!$K$10:$K$40</c:f>
              <c:numCache>
                <c:formatCode>General</c:formatCode>
                <c:ptCount val="31"/>
                <c:pt idx="0">
                  <c:v>-0.29913600000000001</c:v>
                </c:pt>
                <c:pt idx="1">
                  <c:v>-0.202847</c:v>
                </c:pt>
                <c:pt idx="2">
                  <c:v>-0.10997800000000001</c:v>
                </c:pt>
                <c:pt idx="3">
                  <c:v>2.2707499999999999E-2</c:v>
                </c:pt>
                <c:pt idx="4">
                  <c:v>0.20580699999999999</c:v>
                </c:pt>
                <c:pt idx="5">
                  <c:v>0.44541599999999998</c:v>
                </c:pt>
                <c:pt idx="6">
                  <c:v>0.93187399999999998</c:v>
                </c:pt>
                <c:pt idx="7">
                  <c:v>1.6874</c:v>
                </c:pt>
                <c:pt idx="8">
                  <c:v>2.8508599999999999</c:v>
                </c:pt>
                <c:pt idx="9">
                  <c:v>3.0959099999999999</c:v>
                </c:pt>
                <c:pt idx="10">
                  <c:v>3.3271799999999998</c:v>
                </c:pt>
                <c:pt idx="11">
                  <c:v>3.63</c:v>
                </c:pt>
                <c:pt idx="12">
                  <c:v>3.9327899999999998</c:v>
                </c:pt>
                <c:pt idx="13">
                  <c:v>4.0534499999999998</c:v>
                </c:pt>
                <c:pt idx="14">
                  <c:v>4.0652499999999998</c:v>
                </c:pt>
                <c:pt idx="15">
                  <c:v>4.0578599999999998</c:v>
                </c:pt>
                <c:pt idx="16">
                  <c:v>4.0314399999999999</c:v>
                </c:pt>
                <c:pt idx="17">
                  <c:v>3.90577</c:v>
                </c:pt>
                <c:pt idx="18">
                  <c:v>3.8258800000000002</c:v>
                </c:pt>
                <c:pt idx="19">
                  <c:v>3.7189899999999998</c:v>
                </c:pt>
                <c:pt idx="20">
                  <c:v>3.4744600000000001</c:v>
                </c:pt>
                <c:pt idx="21">
                  <c:v>3.15334</c:v>
                </c:pt>
                <c:pt idx="22">
                  <c:v>2.8439700000000001</c:v>
                </c:pt>
                <c:pt idx="23">
                  <c:v>2.5434000000000001</c:v>
                </c:pt>
                <c:pt idx="24">
                  <c:v>2.2291699999999999</c:v>
                </c:pt>
                <c:pt idx="25">
                  <c:v>1.9481200000000001</c:v>
                </c:pt>
                <c:pt idx="26">
                  <c:v>1.7025300000000001</c:v>
                </c:pt>
                <c:pt idx="27">
                  <c:v>1.48573</c:v>
                </c:pt>
                <c:pt idx="28">
                  <c:v>1.2999499999999999</c:v>
                </c:pt>
                <c:pt idx="29">
                  <c:v>1.15245</c:v>
                </c:pt>
                <c:pt idx="30">
                  <c:v>1.0265599999999999</c:v>
                </c:pt>
              </c:numCache>
            </c:numRef>
          </c:xVal>
          <c:yVal>
            <c:numRef>
              <c:f>Imperfection!$L$10:$L$40</c:f>
              <c:numCache>
                <c:formatCode>General</c:formatCode>
                <c:ptCount val="31"/>
                <c:pt idx="0">
                  <c:v>0</c:v>
                </c:pt>
                <c:pt idx="1">
                  <c:v>1.0086700000000001E-2</c:v>
                </c:pt>
                <c:pt idx="2">
                  <c:v>2.03349E-2</c:v>
                </c:pt>
                <c:pt idx="3">
                  <c:v>3.6006200000000002E-2</c:v>
                </c:pt>
                <c:pt idx="4">
                  <c:v>6.01649E-2</c:v>
                </c:pt>
                <c:pt idx="5">
                  <c:v>9.7461800000000001E-2</c:v>
                </c:pt>
                <c:pt idx="6">
                  <c:v>0.13632</c:v>
                </c:pt>
                <c:pt idx="7">
                  <c:v>0.16902400000000001</c:v>
                </c:pt>
                <c:pt idx="8">
                  <c:v>0.19739499999999999</c:v>
                </c:pt>
                <c:pt idx="9">
                  <c:v>0.20225299999999999</c:v>
                </c:pt>
                <c:pt idx="10">
                  <c:v>0.206757</c:v>
                </c:pt>
                <c:pt idx="11">
                  <c:v>0.21294299999999999</c:v>
                </c:pt>
                <c:pt idx="12">
                  <c:v>0.22112599999999999</c:v>
                </c:pt>
                <c:pt idx="13">
                  <c:v>0.22550999999999999</c:v>
                </c:pt>
                <c:pt idx="14">
                  <c:v>0.227682</c:v>
                </c:pt>
                <c:pt idx="15">
                  <c:v>0.22883100000000001</c:v>
                </c:pt>
                <c:pt idx="16">
                  <c:v>0.23046</c:v>
                </c:pt>
                <c:pt idx="17">
                  <c:v>0.23102900000000001</c:v>
                </c:pt>
                <c:pt idx="18">
                  <c:v>0.232236</c:v>
                </c:pt>
                <c:pt idx="19">
                  <c:v>0.23319999999999999</c:v>
                </c:pt>
                <c:pt idx="20">
                  <c:v>0.233708</c:v>
                </c:pt>
                <c:pt idx="21">
                  <c:v>0.23287099999999999</c:v>
                </c:pt>
                <c:pt idx="22">
                  <c:v>0.231632</c:v>
                </c:pt>
                <c:pt idx="23">
                  <c:v>0.23045399999999999</c:v>
                </c:pt>
                <c:pt idx="24">
                  <c:v>0.228154</c:v>
                </c:pt>
                <c:pt idx="25">
                  <c:v>0.22766400000000001</c:v>
                </c:pt>
                <c:pt idx="26">
                  <c:v>0.22775100000000001</c:v>
                </c:pt>
                <c:pt idx="27">
                  <c:v>0.228329</c:v>
                </c:pt>
                <c:pt idx="28">
                  <c:v>0.22947000000000001</c:v>
                </c:pt>
                <c:pt idx="29">
                  <c:v>0.23120599999999999</c:v>
                </c:pt>
                <c:pt idx="30">
                  <c:v>0.23327800000000001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53-41FE-BB57-D8F75830D863}"/>
            </c:ext>
          </c:extLst>
        </c:ser>
        <c:ser>
          <c:idx val="2"/>
          <c:order val="2"/>
          <c:tx>
            <c:strRef>
              <c:f>Imperfection!$AF$6</c:f>
              <c:strCache>
                <c:ptCount val="1"/>
                <c:pt idx="0">
                  <c:v>EM1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ysDot"/>
              <a:miter lim="800000"/>
            </a:ln>
            <a:effectLst/>
          </c:spPr>
          <c:marker>
            <c:symbol val="none"/>
          </c:marker>
          <c:xVal>
            <c:numRef>
              <c:f>Imperfection!$AE$8:$AE$38</c:f>
              <c:numCache>
                <c:formatCode>General</c:formatCode>
                <c:ptCount val="31"/>
                <c:pt idx="0">
                  <c:v>0</c:v>
                </c:pt>
                <c:pt idx="1">
                  <c:v>8.8567800000000002E-2</c:v>
                </c:pt>
                <c:pt idx="2">
                  <c:v>0.172934</c:v>
                </c:pt>
                <c:pt idx="3">
                  <c:v>0.291383</c:v>
                </c:pt>
                <c:pt idx="4">
                  <c:v>0.44948100000000002</c:v>
                </c:pt>
                <c:pt idx="5">
                  <c:v>0.64273499999999995</c:v>
                </c:pt>
                <c:pt idx="6">
                  <c:v>1.1016300000000001</c:v>
                </c:pt>
                <c:pt idx="7">
                  <c:v>1.8176099999999999</c:v>
                </c:pt>
                <c:pt idx="8">
                  <c:v>2.1516700000000002</c:v>
                </c:pt>
                <c:pt idx="9">
                  <c:v>2.4410799999999999</c:v>
                </c:pt>
                <c:pt idx="10">
                  <c:v>1.7107600000000001</c:v>
                </c:pt>
                <c:pt idx="11">
                  <c:v>1.42164</c:v>
                </c:pt>
                <c:pt idx="12">
                  <c:v>1.11415</c:v>
                </c:pt>
                <c:pt idx="13">
                  <c:v>0.60356399999999999</c:v>
                </c:pt>
                <c:pt idx="14">
                  <c:v>6.0549199999999997E-2</c:v>
                </c:pt>
                <c:pt idx="15">
                  <c:v>-0.50795299999999999</c:v>
                </c:pt>
                <c:pt idx="16">
                  <c:v>-1.1010800000000001</c:v>
                </c:pt>
                <c:pt idx="17">
                  <c:v>-1.70651</c:v>
                </c:pt>
                <c:pt idx="18">
                  <c:v>-2.32315</c:v>
                </c:pt>
                <c:pt idx="19">
                  <c:v>-2.9484699999999999</c:v>
                </c:pt>
                <c:pt idx="20">
                  <c:v>-3.5820699999999999</c:v>
                </c:pt>
                <c:pt idx="21">
                  <c:v>-4.2230800000000004</c:v>
                </c:pt>
                <c:pt idx="22">
                  <c:v>-4.8726599999999998</c:v>
                </c:pt>
                <c:pt idx="23">
                  <c:v>-5.5310800000000002</c:v>
                </c:pt>
                <c:pt idx="24">
                  <c:v>-6.1991899999999998</c:v>
                </c:pt>
                <c:pt idx="25">
                  <c:v>-6.8765499999999999</c:v>
                </c:pt>
                <c:pt idx="26">
                  <c:v>-7.9025699999999999</c:v>
                </c:pt>
                <c:pt idx="27">
                  <c:v>-8.9408100000000008</c:v>
                </c:pt>
                <c:pt idx="28">
                  <c:v>-9.9837799999999994</c:v>
                </c:pt>
                <c:pt idx="29">
                  <c:v>-11.029299999999999</c:v>
                </c:pt>
                <c:pt idx="30">
                  <c:v>-12.076000000000001</c:v>
                </c:pt>
              </c:numCache>
            </c:numRef>
          </c:xVal>
          <c:yVal>
            <c:numRef>
              <c:f>Imperfection!$AF$8:$AF$38</c:f>
              <c:numCache>
                <c:formatCode>General</c:formatCode>
                <c:ptCount val="31"/>
                <c:pt idx="0">
                  <c:v>0</c:v>
                </c:pt>
                <c:pt idx="1">
                  <c:v>1.0077300000000001E-2</c:v>
                </c:pt>
                <c:pt idx="2">
                  <c:v>2.0297599999999999E-2</c:v>
                </c:pt>
                <c:pt idx="3">
                  <c:v>3.58927E-2</c:v>
                </c:pt>
                <c:pt idx="4">
                  <c:v>5.9861600000000001E-2</c:v>
                </c:pt>
                <c:pt idx="5">
                  <c:v>9.6802899999999997E-2</c:v>
                </c:pt>
                <c:pt idx="6">
                  <c:v>0.13630600000000001</c:v>
                </c:pt>
                <c:pt idx="7">
                  <c:v>0.16991899999999999</c:v>
                </c:pt>
                <c:pt idx="8">
                  <c:v>0.18185799999999999</c:v>
                </c:pt>
                <c:pt idx="9">
                  <c:v>0.19439999999999999</c:v>
                </c:pt>
                <c:pt idx="10">
                  <c:v>0.206009</c:v>
                </c:pt>
                <c:pt idx="11">
                  <c:v>0.20644100000000001</c:v>
                </c:pt>
                <c:pt idx="12">
                  <c:v>0.206618</c:v>
                </c:pt>
                <c:pt idx="13">
                  <c:v>0.20647799999999999</c:v>
                </c:pt>
                <c:pt idx="14">
                  <c:v>0.206036</c:v>
                </c:pt>
                <c:pt idx="15">
                  <c:v>0.205344</c:v>
                </c:pt>
                <c:pt idx="16">
                  <c:v>0.20438600000000001</c:v>
                </c:pt>
                <c:pt idx="17">
                  <c:v>0.20330699999999999</c:v>
                </c:pt>
                <c:pt idx="18">
                  <c:v>0.20211200000000001</c:v>
                </c:pt>
                <c:pt idx="19">
                  <c:v>0.200824</c:v>
                </c:pt>
                <c:pt idx="20">
                  <c:v>0.199436</c:v>
                </c:pt>
                <c:pt idx="21">
                  <c:v>0.19799800000000001</c:v>
                </c:pt>
                <c:pt idx="22">
                  <c:v>0.19649</c:v>
                </c:pt>
                <c:pt idx="23">
                  <c:v>0.19489799999999999</c:v>
                </c:pt>
                <c:pt idx="24">
                  <c:v>0.19320300000000001</c:v>
                </c:pt>
                <c:pt idx="25">
                  <c:v>0.191388</c:v>
                </c:pt>
                <c:pt idx="26">
                  <c:v>0.188474</c:v>
                </c:pt>
                <c:pt idx="27">
                  <c:v>0.185503</c:v>
                </c:pt>
                <c:pt idx="28">
                  <c:v>0.18267</c:v>
                </c:pt>
                <c:pt idx="29">
                  <c:v>0.18013899999999999</c:v>
                </c:pt>
                <c:pt idx="30">
                  <c:v>0.17802499999999999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34-42BB-BAAC-8AC2A9E3F174}"/>
            </c:ext>
          </c:extLst>
        </c:ser>
        <c:ser>
          <c:idx val="3"/>
          <c:order val="3"/>
          <c:tx>
            <c:strRef>
              <c:f>Imperfection!$AI$6</c:f>
              <c:strCache>
                <c:ptCount val="1"/>
                <c:pt idx="0">
                  <c:v>EM2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ysDash"/>
              <a:miter lim="800000"/>
            </a:ln>
            <a:effectLst/>
          </c:spPr>
          <c:marker>
            <c:symbol val="none"/>
          </c:marker>
          <c:xVal>
            <c:numRef>
              <c:f>Imperfection!$AH$8:$AH$38</c:f>
              <c:numCache>
                <c:formatCode>General</c:formatCode>
                <c:ptCount val="31"/>
                <c:pt idx="0">
                  <c:v>0</c:v>
                </c:pt>
                <c:pt idx="1">
                  <c:v>8.8802900000000004E-2</c:v>
                </c:pt>
                <c:pt idx="2">
                  <c:v>0.17343</c:v>
                </c:pt>
                <c:pt idx="3">
                  <c:v>0.29231699999999999</c:v>
                </c:pt>
                <c:pt idx="4">
                  <c:v>0.45117600000000002</c:v>
                </c:pt>
                <c:pt idx="5">
                  <c:v>0.64573499999999995</c:v>
                </c:pt>
                <c:pt idx="6">
                  <c:v>1.10693</c:v>
                </c:pt>
                <c:pt idx="7">
                  <c:v>1.8268800000000001</c:v>
                </c:pt>
                <c:pt idx="8">
                  <c:v>2.1612200000000001</c:v>
                </c:pt>
                <c:pt idx="9">
                  <c:v>2.45791</c:v>
                </c:pt>
                <c:pt idx="10">
                  <c:v>2.4801500000000001</c:v>
                </c:pt>
                <c:pt idx="11">
                  <c:v>2.2640799999999999</c:v>
                </c:pt>
                <c:pt idx="12">
                  <c:v>1.7625999999999999</c:v>
                </c:pt>
                <c:pt idx="13">
                  <c:v>0.99752300000000005</c:v>
                </c:pt>
                <c:pt idx="14">
                  <c:v>2.5407099999999998E-2</c:v>
                </c:pt>
                <c:pt idx="15">
                  <c:v>-1.11076</c:v>
                </c:pt>
                <c:pt idx="16">
                  <c:v>-2.0857800000000002</c:v>
                </c:pt>
                <c:pt idx="17">
                  <c:v>-3.0685500000000001</c:v>
                </c:pt>
                <c:pt idx="18">
                  <c:v>-4.0576999999999996</c:v>
                </c:pt>
                <c:pt idx="19">
                  <c:v>-5.0469200000000001</c:v>
                </c:pt>
                <c:pt idx="20">
                  <c:v>-6.04331</c:v>
                </c:pt>
                <c:pt idx="21">
                  <c:v>-7.04915</c:v>
                </c:pt>
                <c:pt idx="22">
                  <c:v>-8.0691900000000008</c:v>
                </c:pt>
                <c:pt idx="23">
                  <c:v>-9.0984400000000001</c:v>
                </c:pt>
                <c:pt idx="24">
                  <c:v>-10.1386</c:v>
                </c:pt>
                <c:pt idx="25">
                  <c:v>-11.182600000000001</c:v>
                </c:pt>
                <c:pt idx="26">
                  <c:v>-12.228</c:v>
                </c:pt>
                <c:pt idx="27">
                  <c:v>-13.272399999999999</c:v>
                </c:pt>
                <c:pt idx="28">
                  <c:v>-14.312799999999999</c:v>
                </c:pt>
                <c:pt idx="29">
                  <c:v>-15.348000000000001</c:v>
                </c:pt>
                <c:pt idx="30">
                  <c:v>-16.3733</c:v>
                </c:pt>
              </c:numCache>
            </c:numRef>
          </c:xVal>
          <c:yVal>
            <c:numRef>
              <c:f>Imperfection!$AI$8:$AI$38</c:f>
              <c:numCache>
                <c:formatCode>General</c:formatCode>
                <c:ptCount val="31"/>
                <c:pt idx="0">
                  <c:v>0</c:v>
                </c:pt>
                <c:pt idx="1">
                  <c:v>1.0078E-2</c:v>
                </c:pt>
                <c:pt idx="2">
                  <c:v>2.0300200000000001E-2</c:v>
                </c:pt>
                <c:pt idx="3">
                  <c:v>3.5901000000000002E-2</c:v>
                </c:pt>
                <c:pt idx="4">
                  <c:v>5.9885300000000002E-2</c:v>
                </c:pt>
                <c:pt idx="5">
                  <c:v>9.6868300000000004E-2</c:v>
                </c:pt>
                <c:pt idx="6">
                  <c:v>0.136328</c:v>
                </c:pt>
                <c:pt idx="7">
                  <c:v>0.170011</c:v>
                </c:pt>
                <c:pt idx="8">
                  <c:v>0.18190600000000001</c:v>
                </c:pt>
                <c:pt idx="9">
                  <c:v>0.194549</c:v>
                </c:pt>
                <c:pt idx="10">
                  <c:v>0.19931499999999999</c:v>
                </c:pt>
                <c:pt idx="11">
                  <c:v>0.20408200000000001</c:v>
                </c:pt>
                <c:pt idx="12">
                  <c:v>0.20655200000000001</c:v>
                </c:pt>
                <c:pt idx="13">
                  <c:v>0.207097</c:v>
                </c:pt>
                <c:pt idx="14">
                  <c:v>0.20624000000000001</c:v>
                </c:pt>
                <c:pt idx="15">
                  <c:v>0.204401</c:v>
                </c:pt>
                <c:pt idx="16">
                  <c:v>0.202569</c:v>
                </c:pt>
                <c:pt idx="17">
                  <c:v>0.20052</c:v>
                </c:pt>
                <c:pt idx="18">
                  <c:v>0.19827500000000001</c:v>
                </c:pt>
                <c:pt idx="19">
                  <c:v>0.19583700000000001</c:v>
                </c:pt>
                <c:pt idx="20">
                  <c:v>0.19322500000000001</c:v>
                </c:pt>
                <c:pt idx="21">
                  <c:v>0.19054299999999999</c:v>
                </c:pt>
                <c:pt idx="22">
                  <c:v>0.18781999999999999</c:v>
                </c:pt>
                <c:pt idx="23">
                  <c:v>0.18512300000000001</c:v>
                </c:pt>
                <c:pt idx="24">
                  <c:v>0.18252099999999999</c:v>
                </c:pt>
                <c:pt idx="25">
                  <c:v>0.18013899999999999</c:v>
                </c:pt>
                <c:pt idx="26">
                  <c:v>0.17810300000000001</c:v>
                </c:pt>
                <c:pt idx="27">
                  <c:v>0.17651700000000001</c:v>
                </c:pt>
                <c:pt idx="28">
                  <c:v>0.17544499999999999</c:v>
                </c:pt>
                <c:pt idx="29">
                  <c:v>0.17493900000000001</c:v>
                </c:pt>
                <c:pt idx="30">
                  <c:v>0.175071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34-42BB-BAAC-8AC2A9E3F174}"/>
            </c:ext>
          </c:extLst>
        </c:ser>
        <c:ser>
          <c:idx val="4"/>
          <c:order val="4"/>
          <c:tx>
            <c:strRef>
              <c:f>Imperfection!$AL$6</c:f>
              <c:strCache>
                <c:ptCount val="1"/>
                <c:pt idx="0">
                  <c:v>EM3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dash"/>
              <a:miter lim="800000"/>
            </a:ln>
            <a:effectLst/>
          </c:spPr>
          <c:marker>
            <c:symbol val="none"/>
          </c:marker>
          <c:xVal>
            <c:numRef>
              <c:f>Imperfection!$AK$8:$AK$38</c:f>
              <c:numCache>
                <c:formatCode>General</c:formatCode>
                <c:ptCount val="31"/>
                <c:pt idx="0">
                  <c:v>0</c:v>
                </c:pt>
                <c:pt idx="1">
                  <c:v>8.9433899999999997E-2</c:v>
                </c:pt>
                <c:pt idx="2">
                  <c:v>0.17485899999999999</c:v>
                </c:pt>
                <c:pt idx="3">
                  <c:v>0.295267</c:v>
                </c:pt>
                <c:pt idx="4">
                  <c:v>0.45720699999999997</c:v>
                </c:pt>
                <c:pt idx="5">
                  <c:v>0.65741799999999995</c:v>
                </c:pt>
                <c:pt idx="6">
                  <c:v>1.1248100000000001</c:v>
                </c:pt>
                <c:pt idx="7">
                  <c:v>1.87565</c:v>
                </c:pt>
                <c:pt idx="8">
                  <c:v>2.2232799999999999</c:v>
                </c:pt>
                <c:pt idx="9">
                  <c:v>2.53227</c:v>
                </c:pt>
                <c:pt idx="10">
                  <c:v>1.8577399999999999</c:v>
                </c:pt>
                <c:pt idx="11">
                  <c:v>1.5764100000000001</c:v>
                </c:pt>
                <c:pt idx="12">
                  <c:v>1.26624</c:v>
                </c:pt>
                <c:pt idx="13">
                  <c:v>0.93445199999999995</c:v>
                </c:pt>
                <c:pt idx="14">
                  <c:v>0.39558300000000002</c:v>
                </c:pt>
                <c:pt idx="15">
                  <c:v>-0.167852</c:v>
                </c:pt>
                <c:pt idx="16">
                  <c:v>-0.75060099999999996</c:v>
                </c:pt>
                <c:pt idx="17">
                  <c:v>-1.3512500000000001</c:v>
                </c:pt>
                <c:pt idx="18">
                  <c:v>-1.9655100000000001</c:v>
                </c:pt>
                <c:pt idx="19">
                  <c:v>-2.5905</c:v>
                </c:pt>
                <c:pt idx="20">
                  <c:v>-3.2258200000000001</c:v>
                </c:pt>
                <c:pt idx="21">
                  <c:v>-3.8699699999999999</c:v>
                </c:pt>
                <c:pt idx="22">
                  <c:v>-4.5224399999999996</c:v>
                </c:pt>
                <c:pt idx="23">
                  <c:v>-5.1816700000000004</c:v>
                </c:pt>
                <c:pt idx="24">
                  <c:v>-5.8473699999999997</c:v>
                </c:pt>
                <c:pt idx="25">
                  <c:v>-6.5187200000000001</c:v>
                </c:pt>
                <c:pt idx="26">
                  <c:v>-7.19658</c:v>
                </c:pt>
                <c:pt idx="27">
                  <c:v>-7.8798399999999997</c:v>
                </c:pt>
                <c:pt idx="28">
                  <c:v>-8.5681700000000003</c:v>
                </c:pt>
                <c:pt idx="29">
                  <c:v>-9.2612299999999994</c:v>
                </c:pt>
                <c:pt idx="30">
                  <c:v>-9.95763</c:v>
                </c:pt>
              </c:numCache>
            </c:numRef>
          </c:xVal>
          <c:yVal>
            <c:numRef>
              <c:f>Imperfection!$AL$8:$AL$38</c:f>
              <c:numCache>
                <c:formatCode>General</c:formatCode>
                <c:ptCount val="31"/>
                <c:pt idx="0">
                  <c:v>0</c:v>
                </c:pt>
                <c:pt idx="1">
                  <c:v>1.0074100000000001E-2</c:v>
                </c:pt>
                <c:pt idx="2">
                  <c:v>2.0284900000000002E-2</c:v>
                </c:pt>
                <c:pt idx="3">
                  <c:v>3.5854700000000003E-2</c:v>
                </c:pt>
                <c:pt idx="4">
                  <c:v>5.9763799999999999E-2</c:v>
                </c:pt>
                <c:pt idx="5">
                  <c:v>9.6647399999999994E-2</c:v>
                </c:pt>
                <c:pt idx="6">
                  <c:v>0.136098</c:v>
                </c:pt>
                <c:pt idx="7">
                  <c:v>0.16980600000000001</c:v>
                </c:pt>
                <c:pt idx="8">
                  <c:v>0.181731</c:v>
                </c:pt>
                <c:pt idx="9">
                  <c:v>0.194407</c:v>
                </c:pt>
                <c:pt idx="10">
                  <c:v>0.20613200000000001</c:v>
                </c:pt>
                <c:pt idx="11">
                  <c:v>0.20666499999999999</c:v>
                </c:pt>
                <c:pt idx="12">
                  <c:v>0.206821</c:v>
                </c:pt>
                <c:pt idx="13">
                  <c:v>0.20676600000000001</c:v>
                </c:pt>
                <c:pt idx="14">
                  <c:v>0.20635700000000001</c:v>
                </c:pt>
                <c:pt idx="15">
                  <c:v>0.205711</c:v>
                </c:pt>
                <c:pt idx="16">
                  <c:v>0.20488700000000001</c:v>
                </c:pt>
                <c:pt idx="17">
                  <c:v>0.203879</c:v>
                </c:pt>
                <c:pt idx="18">
                  <c:v>0.20272100000000001</c:v>
                </c:pt>
                <c:pt idx="19">
                  <c:v>0.20143</c:v>
                </c:pt>
                <c:pt idx="20">
                  <c:v>0.199988</c:v>
                </c:pt>
                <c:pt idx="21">
                  <c:v>0.19841700000000001</c:v>
                </c:pt>
                <c:pt idx="22">
                  <c:v>0.19673299999999999</c:v>
                </c:pt>
                <c:pt idx="23">
                  <c:v>0.19498699999999999</c:v>
                </c:pt>
                <c:pt idx="24">
                  <c:v>0.193222</c:v>
                </c:pt>
                <c:pt idx="25">
                  <c:v>0.191465</c:v>
                </c:pt>
                <c:pt idx="26">
                  <c:v>0.18970000000000001</c:v>
                </c:pt>
                <c:pt idx="27">
                  <c:v>0.187942</c:v>
                </c:pt>
                <c:pt idx="28">
                  <c:v>0.186194</c:v>
                </c:pt>
                <c:pt idx="29">
                  <c:v>0.18446599999999999</c:v>
                </c:pt>
                <c:pt idx="30">
                  <c:v>0.18279899999999999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34-42BB-BAAC-8AC2A9E3F174}"/>
            </c:ext>
          </c:extLst>
        </c:ser>
        <c:ser>
          <c:idx val="5"/>
          <c:order val="5"/>
          <c:tx>
            <c:strRef>
              <c:f>Imperfection!$AO$6</c:f>
              <c:strCache>
                <c:ptCount val="1"/>
                <c:pt idx="0">
                  <c:v>EM4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DotDot"/>
              <a:miter lim="800000"/>
            </a:ln>
            <a:effectLst/>
          </c:spPr>
          <c:marker>
            <c:symbol val="none"/>
          </c:marker>
          <c:xVal>
            <c:numRef>
              <c:f>Imperfection!$AN$8:$AN$38</c:f>
              <c:numCache>
                <c:formatCode>General</c:formatCode>
                <c:ptCount val="31"/>
                <c:pt idx="0">
                  <c:v>0</c:v>
                </c:pt>
                <c:pt idx="1">
                  <c:v>8.9402800000000004E-2</c:v>
                </c:pt>
                <c:pt idx="2">
                  <c:v>0.17478099999999999</c:v>
                </c:pt>
                <c:pt idx="3">
                  <c:v>0.29508800000000002</c:v>
                </c:pt>
                <c:pt idx="4">
                  <c:v>0.45679500000000001</c:v>
                </c:pt>
                <c:pt idx="5">
                  <c:v>0.656358</c:v>
                </c:pt>
                <c:pt idx="6">
                  <c:v>1.1242099999999999</c:v>
                </c:pt>
                <c:pt idx="7">
                  <c:v>1.87131</c:v>
                </c:pt>
                <c:pt idx="8">
                  <c:v>2.4220899999999999</c:v>
                </c:pt>
                <c:pt idx="9">
                  <c:v>2.4993400000000001</c:v>
                </c:pt>
                <c:pt idx="10">
                  <c:v>1.2962199999999999</c:v>
                </c:pt>
                <c:pt idx="11">
                  <c:v>1.0387900000000001</c:v>
                </c:pt>
                <c:pt idx="12">
                  <c:v>0.77249599999999996</c:v>
                </c:pt>
                <c:pt idx="13">
                  <c:v>0.49703000000000003</c:v>
                </c:pt>
                <c:pt idx="14">
                  <c:v>6.4744399999999994E-2</c:v>
                </c:pt>
                <c:pt idx="15">
                  <c:v>-0.633135</c:v>
                </c:pt>
                <c:pt idx="16">
                  <c:v>-1.34924</c:v>
                </c:pt>
                <c:pt idx="17">
                  <c:v>-2.0839799999999999</c:v>
                </c:pt>
                <c:pt idx="18">
                  <c:v>-2.8294999999999999</c:v>
                </c:pt>
                <c:pt idx="19">
                  <c:v>-3.58033</c:v>
                </c:pt>
                <c:pt idx="20">
                  <c:v>-4.3401800000000001</c:v>
                </c:pt>
                <c:pt idx="21">
                  <c:v>-5.1099199999999998</c:v>
                </c:pt>
                <c:pt idx="22">
                  <c:v>-5.8934699999999998</c:v>
                </c:pt>
                <c:pt idx="23">
                  <c:v>-6.69217</c:v>
                </c:pt>
                <c:pt idx="24">
                  <c:v>-7.5044399999999998</c:v>
                </c:pt>
                <c:pt idx="25">
                  <c:v>-8.3269400000000005</c:v>
                </c:pt>
                <c:pt idx="26">
                  <c:v>-9.1553100000000001</c:v>
                </c:pt>
                <c:pt idx="27">
                  <c:v>-9.9875100000000003</c:v>
                </c:pt>
                <c:pt idx="28">
                  <c:v>-10.819900000000001</c:v>
                </c:pt>
                <c:pt idx="29">
                  <c:v>-11.6525</c:v>
                </c:pt>
                <c:pt idx="30">
                  <c:v>-12.4838</c:v>
                </c:pt>
              </c:numCache>
            </c:numRef>
          </c:xVal>
          <c:yVal>
            <c:numRef>
              <c:f>Imperfection!$AO$8:$AO$38</c:f>
              <c:numCache>
                <c:formatCode>General</c:formatCode>
                <c:ptCount val="31"/>
                <c:pt idx="0">
                  <c:v>0</c:v>
                </c:pt>
                <c:pt idx="1">
                  <c:v>1.00742E-2</c:v>
                </c:pt>
                <c:pt idx="2">
                  <c:v>2.0285299999999999E-2</c:v>
                </c:pt>
                <c:pt idx="3">
                  <c:v>3.5855999999999999E-2</c:v>
                </c:pt>
                <c:pt idx="4">
                  <c:v>5.97677E-2</c:v>
                </c:pt>
                <c:pt idx="5">
                  <c:v>9.6666100000000005E-2</c:v>
                </c:pt>
                <c:pt idx="6">
                  <c:v>0.136103</c:v>
                </c:pt>
                <c:pt idx="7">
                  <c:v>0.169818</c:v>
                </c:pt>
                <c:pt idx="8">
                  <c:v>0.189052</c:v>
                </c:pt>
                <c:pt idx="9">
                  <c:v>0.20011300000000001</c:v>
                </c:pt>
                <c:pt idx="10">
                  <c:v>0.20630999999999999</c:v>
                </c:pt>
                <c:pt idx="11">
                  <c:v>0.20635899999999999</c:v>
                </c:pt>
                <c:pt idx="12">
                  <c:v>0.20626700000000001</c:v>
                </c:pt>
                <c:pt idx="13">
                  <c:v>0.20609</c:v>
                </c:pt>
                <c:pt idx="14">
                  <c:v>0.20566499999999999</c:v>
                </c:pt>
                <c:pt idx="15">
                  <c:v>0.20474200000000001</c:v>
                </c:pt>
                <c:pt idx="16">
                  <c:v>0.20358699999999999</c:v>
                </c:pt>
                <c:pt idx="17">
                  <c:v>0.20219400000000001</c:v>
                </c:pt>
                <c:pt idx="18">
                  <c:v>0.20061300000000001</c:v>
                </c:pt>
                <c:pt idx="19">
                  <c:v>0.19897200000000001</c:v>
                </c:pt>
                <c:pt idx="20">
                  <c:v>0.19730800000000001</c:v>
                </c:pt>
                <c:pt idx="21">
                  <c:v>0.19559099999999999</c:v>
                </c:pt>
                <c:pt idx="22">
                  <c:v>0.193769</c:v>
                </c:pt>
                <c:pt idx="23">
                  <c:v>0.191778</c:v>
                </c:pt>
                <c:pt idx="24">
                  <c:v>0.189582</c:v>
                </c:pt>
                <c:pt idx="25">
                  <c:v>0.187278</c:v>
                </c:pt>
                <c:pt idx="26">
                  <c:v>0.18496599999999999</c:v>
                </c:pt>
                <c:pt idx="27">
                  <c:v>0.18276100000000001</c:v>
                </c:pt>
                <c:pt idx="28">
                  <c:v>0.18077199999999999</c:v>
                </c:pt>
                <c:pt idx="29">
                  <c:v>0.17904500000000001</c:v>
                </c:pt>
                <c:pt idx="30">
                  <c:v>0.177618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B34-42BB-BAAC-8AC2A9E3F174}"/>
            </c:ext>
          </c:extLst>
        </c:ser>
        <c:ser>
          <c:idx val="6"/>
          <c:order val="6"/>
          <c:tx>
            <c:strRef>
              <c:f>Imperfection!$AR$6</c:f>
              <c:strCache>
                <c:ptCount val="1"/>
                <c:pt idx="0">
                  <c:v>EM5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Dot"/>
              <a:miter lim="800000"/>
            </a:ln>
            <a:effectLst/>
          </c:spPr>
          <c:marker>
            <c:symbol val="none"/>
          </c:marker>
          <c:xVal>
            <c:numRef>
              <c:f>Imperfection!$AQ$8:$AQ$38</c:f>
              <c:numCache>
                <c:formatCode>General</c:formatCode>
                <c:ptCount val="31"/>
                <c:pt idx="0">
                  <c:v>0</c:v>
                </c:pt>
                <c:pt idx="1">
                  <c:v>8.7740299999999993E-2</c:v>
                </c:pt>
                <c:pt idx="2">
                  <c:v>0.171349</c:v>
                </c:pt>
                <c:pt idx="3">
                  <c:v>0.28879899999999997</c:v>
                </c:pt>
                <c:pt idx="4">
                  <c:v>0.445774</c:v>
                </c:pt>
                <c:pt idx="5">
                  <c:v>0.63704799999999995</c:v>
                </c:pt>
                <c:pt idx="6">
                  <c:v>1.0895999999999999</c:v>
                </c:pt>
                <c:pt idx="7">
                  <c:v>1.8163400000000001</c:v>
                </c:pt>
                <c:pt idx="8">
                  <c:v>2.2871999999999999</c:v>
                </c:pt>
                <c:pt idx="9">
                  <c:v>2.47722</c:v>
                </c:pt>
                <c:pt idx="10">
                  <c:v>2.3829699999999998</c:v>
                </c:pt>
                <c:pt idx="11">
                  <c:v>2.21441</c:v>
                </c:pt>
                <c:pt idx="12">
                  <c:v>1.81046</c:v>
                </c:pt>
                <c:pt idx="13">
                  <c:v>1.5325599999999999</c:v>
                </c:pt>
                <c:pt idx="14">
                  <c:v>1.0581199999999999</c:v>
                </c:pt>
                <c:pt idx="15">
                  <c:v>0.128418</c:v>
                </c:pt>
                <c:pt idx="16">
                  <c:v>-1.0021100000000001</c:v>
                </c:pt>
                <c:pt idx="17">
                  <c:v>-1.9961100000000001</c:v>
                </c:pt>
                <c:pt idx="18">
                  <c:v>-2.97655</c:v>
                </c:pt>
                <c:pt idx="19">
                  <c:v>-3.9592999999999998</c:v>
                </c:pt>
                <c:pt idx="20">
                  <c:v>-4.9453199999999997</c:v>
                </c:pt>
                <c:pt idx="21">
                  <c:v>-5.9361100000000002</c:v>
                </c:pt>
                <c:pt idx="22">
                  <c:v>-6.9398299999999997</c:v>
                </c:pt>
                <c:pt idx="23">
                  <c:v>-7.9574199999999999</c:v>
                </c:pt>
                <c:pt idx="24">
                  <c:v>-8.9867399999999993</c:v>
                </c:pt>
                <c:pt idx="25">
                  <c:v>-10.025399999999999</c:v>
                </c:pt>
                <c:pt idx="26">
                  <c:v>-11.065899999999999</c:v>
                </c:pt>
                <c:pt idx="27">
                  <c:v>-12.108700000000001</c:v>
                </c:pt>
                <c:pt idx="28">
                  <c:v>-12.696199999999999</c:v>
                </c:pt>
                <c:pt idx="29">
                  <c:v>-13.576499999999999</c:v>
                </c:pt>
                <c:pt idx="30">
                  <c:v>-14.819599999999999</c:v>
                </c:pt>
              </c:numCache>
            </c:numRef>
          </c:xVal>
          <c:yVal>
            <c:numRef>
              <c:f>Imperfection!$AR$8:$AR$38</c:f>
              <c:numCache>
                <c:formatCode>General</c:formatCode>
                <c:ptCount val="31"/>
                <c:pt idx="0">
                  <c:v>0</c:v>
                </c:pt>
                <c:pt idx="1">
                  <c:v>1.0073800000000001E-2</c:v>
                </c:pt>
                <c:pt idx="2">
                  <c:v>2.0283099999999998E-2</c:v>
                </c:pt>
                <c:pt idx="3">
                  <c:v>3.5847200000000003E-2</c:v>
                </c:pt>
                <c:pt idx="4">
                  <c:v>5.9735400000000001E-2</c:v>
                </c:pt>
                <c:pt idx="5">
                  <c:v>9.6571699999999996E-2</c:v>
                </c:pt>
                <c:pt idx="6">
                  <c:v>0.13617599999999999</c:v>
                </c:pt>
                <c:pt idx="7">
                  <c:v>0.16991800000000001</c:v>
                </c:pt>
                <c:pt idx="8">
                  <c:v>0.18625700000000001</c:v>
                </c:pt>
                <c:pt idx="9">
                  <c:v>0.20022799999999999</c:v>
                </c:pt>
                <c:pt idx="10">
                  <c:v>0.20292199999999999</c:v>
                </c:pt>
                <c:pt idx="11">
                  <c:v>0.20490900000000001</c:v>
                </c:pt>
                <c:pt idx="12">
                  <c:v>0.20666799999999999</c:v>
                </c:pt>
                <c:pt idx="13">
                  <c:v>0.207119</c:v>
                </c:pt>
                <c:pt idx="14">
                  <c:v>0.207316</c:v>
                </c:pt>
                <c:pt idx="15">
                  <c:v>0.206486</c:v>
                </c:pt>
                <c:pt idx="16">
                  <c:v>0.20469399999999999</c:v>
                </c:pt>
                <c:pt idx="17">
                  <c:v>0.202843</c:v>
                </c:pt>
                <c:pt idx="18">
                  <c:v>0.20086200000000001</c:v>
                </c:pt>
                <c:pt idx="19">
                  <c:v>0.19867499999999999</c:v>
                </c:pt>
                <c:pt idx="20">
                  <c:v>0.19628200000000001</c:v>
                </c:pt>
                <c:pt idx="21">
                  <c:v>0.19369900000000001</c:v>
                </c:pt>
                <c:pt idx="22">
                  <c:v>0.19096199999999999</c:v>
                </c:pt>
                <c:pt idx="23">
                  <c:v>0.188143</c:v>
                </c:pt>
                <c:pt idx="24">
                  <c:v>0.18532899999999999</c:v>
                </c:pt>
                <c:pt idx="25">
                  <c:v>0.18265700000000001</c:v>
                </c:pt>
                <c:pt idx="26">
                  <c:v>0.18029000000000001</c:v>
                </c:pt>
                <c:pt idx="27">
                  <c:v>0.17832899999999999</c:v>
                </c:pt>
                <c:pt idx="28">
                  <c:v>0.17744799999999999</c:v>
                </c:pt>
                <c:pt idx="29">
                  <c:v>0.176403</c:v>
                </c:pt>
                <c:pt idx="30">
                  <c:v>0.17560200000000001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B34-42BB-BAAC-8AC2A9E3F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42287"/>
        <c:axId val="48541327"/>
      </c:scatterChart>
      <c:valAx>
        <c:axId val="48542287"/>
        <c:scaling>
          <c:orientation val="minMax"/>
          <c:max val="5"/>
          <c:min val="-1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41327"/>
        <c:crosses val="autoZero"/>
        <c:crossBetween val="midCat"/>
      </c:valAx>
      <c:valAx>
        <c:axId val="485413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Pressure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42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45603674540683"/>
          <c:y val="5.0925925925925923E-2"/>
          <c:w val="0.80598840769903757"/>
          <c:h val="0.8222069116360455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Imperfection!$O$8</c:f>
              <c:strCache>
                <c:ptCount val="1"/>
                <c:pt idx="0">
                  <c:v>Perfect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Imperfection!$N$10:$N$40</c:f>
              <c:numCache>
                <c:formatCode>General</c:formatCode>
                <c:ptCount val="31"/>
                <c:pt idx="0">
                  <c:v>0</c:v>
                </c:pt>
                <c:pt idx="1">
                  <c:v>0.364151</c:v>
                </c:pt>
                <c:pt idx="2">
                  <c:v>0.72820600000000002</c:v>
                </c:pt>
                <c:pt idx="3">
                  <c:v>1.2741100000000001</c:v>
                </c:pt>
                <c:pt idx="4">
                  <c:v>2.0925799999999999</c:v>
                </c:pt>
                <c:pt idx="5">
                  <c:v>3.31989</c:v>
                </c:pt>
                <c:pt idx="6">
                  <c:v>5.1645899999999996</c:v>
                </c:pt>
                <c:pt idx="7">
                  <c:v>7.9512299999999998</c:v>
                </c:pt>
                <c:pt idx="8">
                  <c:v>12.181900000000001</c:v>
                </c:pt>
                <c:pt idx="9">
                  <c:v>18.569800000000001</c:v>
                </c:pt>
                <c:pt idx="10">
                  <c:v>28.1785</c:v>
                </c:pt>
                <c:pt idx="11">
                  <c:v>42.520600000000002</c:v>
                </c:pt>
                <c:pt idx="12">
                  <c:v>56.922800000000002</c:v>
                </c:pt>
                <c:pt idx="13">
                  <c:v>60.517699999999998</c:v>
                </c:pt>
                <c:pt idx="14">
                  <c:v>64.100099999999998</c:v>
                </c:pt>
                <c:pt idx="15">
                  <c:v>69.467200000000005</c:v>
                </c:pt>
                <c:pt idx="16">
                  <c:v>77.521299999999997</c:v>
                </c:pt>
                <c:pt idx="17">
                  <c:v>85.582400000000007</c:v>
                </c:pt>
                <c:pt idx="18">
                  <c:v>93.650099999999995</c:v>
                </c:pt>
                <c:pt idx="19">
                  <c:v>101.724</c:v>
                </c:pt>
                <c:pt idx="20">
                  <c:v>109.804</c:v>
                </c:pt>
                <c:pt idx="21">
                  <c:v>117.892</c:v>
                </c:pt>
                <c:pt idx="22">
                  <c:v>125.997</c:v>
                </c:pt>
                <c:pt idx="23">
                  <c:v>134.12100000000001</c:v>
                </c:pt>
                <c:pt idx="24">
                  <c:v>142.267</c:v>
                </c:pt>
                <c:pt idx="25">
                  <c:v>150.43700000000001</c:v>
                </c:pt>
                <c:pt idx="26">
                  <c:v>152.46799999999999</c:v>
                </c:pt>
                <c:pt idx="27">
                  <c:v>154.51499999999999</c:v>
                </c:pt>
                <c:pt idx="28">
                  <c:v>157.59</c:v>
                </c:pt>
                <c:pt idx="29">
                  <c:v>162.214</c:v>
                </c:pt>
                <c:pt idx="30">
                  <c:v>166.84800000000001</c:v>
                </c:pt>
              </c:numCache>
            </c:numRef>
          </c:xVal>
          <c:yVal>
            <c:numRef>
              <c:f>Imperfection!$O$10:$O$40</c:f>
              <c:numCache>
                <c:formatCode>General</c:formatCode>
                <c:ptCount val="31"/>
                <c:pt idx="0">
                  <c:v>0</c:v>
                </c:pt>
                <c:pt idx="1">
                  <c:v>9.9628000000000008E-3</c:v>
                </c:pt>
                <c:pt idx="2">
                  <c:v>1.9846800000000001E-2</c:v>
                </c:pt>
                <c:pt idx="3">
                  <c:v>3.4525899999999998E-2</c:v>
                </c:pt>
                <c:pt idx="4">
                  <c:v>5.6216799999999997E-2</c:v>
                </c:pt>
                <c:pt idx="5">
                  <c:v>8.6291400000000004E-2</c:v>
                </c:pt>
                <c:pt idx="6">
                  <c:v>0.122047</c:v>
                </c:pt>
                <c:pt idx="7">
                  <c:v>0.14814099999999999</c:v>
                </c:pt>
                <c:pt idx="8">
                  <c:v>0.15876399999999999</c:v>
                </c:pt>
                <c:pt idx="9">
                  <c:v>0.160165</c:v>
                </c:pt>
                <c:pt idx="10">
                  <c:v>0.15538399999999999</c:v>
                </c:pt>
                <c:pt idx="11">
                  <c:v>0.145399</c:v>
                </c:pt>
                <c:pt idx="12">
                  <c:v>0.13461899999999999</c:v>
                </c:pt>
                <c:pt idx="13">
                  <c:v>0.13189200000000001</c:v>
                </c:pt>
                <c:pt idx="14">
                  <c:v>0.12903800000000001</c:v>
                </c:pt>
                <c:pt idx="15">
                  <c:v>0.124655</c:v>
                </c:pt>
                <c:pt idx="16">
                  <c:v>0.118217</c:v>
                </c:pt>
                <c:pt idx="17">
                  <c:v>0.111953</c:v>
                </c:pt>
                <c:pt idx="18">
                  <c:v>0.10582800000000001</c:v>
                </c:pt>
                <c:pt idx="19">
                  <c:v>9.9813899999999997E-2</c:v>
                </c:pt>
                <c:pt idx="20">
                  <c:v>9.3881699999999998E-2</c:v>
                </c:pt>
                <c:pt idx="21">
                  <c:v>8.8020000000000001E-2</c:v>
                </c:pt>
                <c:pt idx="22">
                  <c:v>8.2369499999999998E-2</c:v>
                </c:pt>
                <c:pt idx="23">
                  <c:v>7.7296299999999998E-2</c:v>
                </c:pt>
                <c:pt idx="24">
                  <c:v>7.3190900000000003E-2</c:v>
                </c:pt>
                <c:pt idx="25">
                  <c:v>7.0446800000000004E-2</c:v>
                </c:pt>
                <c:pt idx="26">
                  <c:v>7.0013699999999998E-2</c:v>
                </c:pt>
                <c:pt idx="27">
                  <c:v>6.9683999999999996E-2</c:v>
                </c:pt>
                <c:pt idx="28">
                  <c:v>6.9394999999999998E-2</c:v>
                </c:pt>
                <c:pt idx="29">
                  <c:v>6.8749699999999997E-2</c:v>
                </c:pt>
                <c:pt idx="30">
                  <c:v>6.8314399999999997E-2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99-429A-81DF-4AA6CC7D0C48}"/>
            </c:ext>
          </c:extLst>
        </c:ser>
        <c:ser>
          <c:idx val="1"/>
          <c:order val="1"/>
          <c:tx>
            <c:strRef>
              <c:f>Imperfection!$R$8</c:f>
              <c:strCache>
                <c:ptCount val="1"/>
                <c:pt idx="0">
                  <c:v>Class C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Imperfection!$Q$10:$Q$40</c:f>
              <c:numCache>
                <c:formatCode>General</c:formatCode>
                <c:ptCount val="31"/>
                <c:pt idx="0">
                  <c:v>0.73414400000000002</c:v>
                </c:pt>
                <c:pt idx="1">
                  <c:v>1.06142</c:v>
                </c:pt>
                <c:pt idx="2">
                  <c:v>1.3886400000000001</c:v>
                </c:pt>
                <c:pt idx="3">
                  <c:v>1.87948</c:v>
                </c:pt>
                <c:pt idx="4">
                  <c:v>2.6160999999999999</c:v>
                </c:pt>
                <c:pt idx="5">
                  <c:v>3.7207499999999998</c:v>
                </c:pt>
                <c:pt idx="6">
                  <c:v>5.3757799999999998</c:v>
                </c:pt>
                <c:pt idx="7">
                  <c:v>7.8390399999999998</c:v>
                </c:pt>
                <c:pt idx="8">
                  <c:v>11.3575</c:v>
                </c:pt>
                <c:pt idx="9">
                  <c:v>14.766</c:v>
                </c:pt>
                <c:pt idx="10">
                  <c:v>18.155799999999999</c:v>
                </c:pt>
                <c:pt idx="11">
                  <c:v>21.538</c:v>
                </c:pt>
                <c:pt idx="12">
                  <c:v>24.913599999999999</c:v>
                </c:pt>
                <c:pt idx="13">
                  <c:v>28.279599999999999</c:v>
                </c:pt>
                <c:pt idx="14">
                  <c:v>33.289900000000003</c:v>
                </c:pt>
                <c:pt idx="15">
                  <c:v>38.2714</c:v>
                </c:pt>
                <c:pt idx="16">
                  <c:v>43.234200000000001</c:v>
                </c:pt>
                <c:pt idx="17">
                  <c:v>48.168399999999998</c:v>
                </c:pt>
                <c:pt idx="18">
                  <c:v>53.072499999999998</c:v>
                </c:pt>
                <c:pt idx="19">
                  <c:v>57.981499999999997</c:v>
                </c:pt>
                <c:pt idx="20">
                  <c:v>62.927100000000003</c:v>
                </c:pt>
                <c:pt idx="21">
                  <c:v>67.923599999999993</c:v>
                </c:pt>
                <c:pt idx="22">
                  <c:v>72.979699999999994</c:v>
                </c:pt>
                <c:pt idx="23">
                  <c:v>78.0839</c:v>
                </c:pt>
                <c:pt idx="24">
                  <c:v>83.235399999999998</c:v>
                </c:pt>
                <c:pt idx="25">
                  <c:v>88.439499999999995</c:v>
                </c:pt>
                <c:pt idx="26">
                  <c:v>93.691000000000003</c:v>
                </c:pt>
                <c:pt idx="27">
                  <c:v>98.985799999999998</c:v>
                </c:pt>
                <c:pt idx="28">
                  <c:v>104.321</c:v>
                </c:pt>
                <c:pt idx="29">
                  <c:v>109.696</c:v>
                </c:pt>
                <c:pt idx="30">
                  <c:v>115.11</c:v>
                </c:pt>
              </c:numCache>
            </c:numRef>
          </c:xVal>
          <c:yVal>
            <c:numRef>
              <c:f>Imperfection!$R$10:$R$40</c:f>
              <c:numCache>
                <c:formatCode>General</c:formatCode>
                <c:ptCount val="31"/>
                <c:pt idx="0">
                  <c:v>0</c:v>
                </c:pt>
                <c:pt idx="1">
                  <c:v>9.9270699999999996E-3</c:v>
                </c:pt>
                <c:pt idx="2">
                  <c:v>1.9772700000000001E-2</c:v>
                </c:pt>
                <c:pt idx="3">
                  <c:v>3.4359899999999999E-2</c:v>
                </c:pt>
                <c:pt idx="4">
                  <c:v>5.5659500000000001E-2</c:v>
                </c:pt>
                <c:pt idx="5">
                  <c:v>8.5092299999999996E-2</c:v>
                </c:pt>
                <c:pt idx="6">
                  <c:v>0.12137100000000001</c:v>
                </c:pt>
                <c:pt idx="7">
                  <c:v>0.15037400000000001</c:v>
                </c:pt>
                <c:pt idx="8">
                  <c:v>0.16236999999999999</c:v>
                </c:pt>
                <c:pt idx="9">
                  <c:v>0.163803</c:v>
                </c:pt>
                <c:pt idx="10">
                  <c:v>0.162434</c:v>
                </c:pt>
                <c:pt idx="11">
                  <c:v>0.15991</c:v>
                </c:pt>
                <c:pt idx="12">
                  <c:v>0.156808</c:v>
                </c:pt>
                <c:pt idx="13">
                  <c:v>0.15332699999999999</c:v>
                </c:pt>
                <c:pt idx="14">
                  <c:v>0.14731</c:v>
                </c:pt>
                <c:pt idx="15">
                  <c:v>0.14083300000000001</c:v>
                </c:pt>
                <c:pt idx="16">
                  <c:v>0.13420499999999999</c:v>
                </c:pt>
                <c:pt idx="17">
                  <c:v>0.127501</c:v>
                </c:pt>
                <c:pt idx="18">
                  <c:v>0.120813</c:v>
                </c:pt>
                <c:pt idx="19">
                  <c:v>0.114456</c:v>
                </c:pt>
                <c:pt idx="20">
                  <c:v>0.10891199999999999</c:v>
                </c:pt>
                <c:pt idx="21">
                  <c:v>0.104464</c:v>
                </c:pt>
                <c:pt idx="22">
                  <c:v>0.101204</c:v>
                </c:pt>
                <c:pt idx="23">
                  <c:v>9.8571599999999995E-2</c:v>
                </c:pt>
                <c:pt idx="24">
                  <c:v>9.6654599999999993E-2</c:v>
                </c:pt>
                <c:pt idx="25">
                  <c:v>9.5517099999999994E-2</c:v>
                </c:pt>
                <c:pt idx="26">
                  <c:v>9.4894099999999995E-2</c:v>
                </c:pt>
                <c:pt idx="27">
                  <c:v>9.4582799999999995E-2</c:v>
                </c:pt>
                <c:pt idx="28">
                  <c:v>9.4587299999999999E-2</c:v>
                </c:pt>
                <c:pt idx="29">
                  <c:v>9.4894099999999995E-2</c:v>
                </c:pt>
                <c:pt idx="30">
                  <c:v>9.5492599999999997E-2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99-429A-81DF-4AA6CC7D0C48}"/>
            </c:ext>
          </c:extLst>
        </c:ser>
        <c:ser>
          <c:idx val="2"/>
          <c:order val="2"/>
          <c:tx>
            <c:strRef>
              <c:f>Imperfection!$C$43</c:f>
              <c:strCache>
                <c:ptCount val="1"/>
                <c:pt idx="0">
                  <c:v>EM1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ysDot"/>
              <a:miter lim="800000"/>
            </a:ln>
            <a:effectLst/>
          </c:spPr>
          <c:marker>
            <c:symbol val="none"/>
          </c:marker>
          <c:xVal>
            <c:numRef>
              <c:f>Imperfection!$B$45:$B$75</c:f>
              <c:numCache>
                <c:formatCode>General</c:formatCode>
                <c:ptCount val="31"/>
                <c:pt idx="0">
                  <c:v>0</c:v>
                </c:pt>
                <c:pt idx="1">
                  <c:v>0.29293000000000002</c:v>
                </c:pt>
                <c:pt idx="2">
                  <c:v>0.58576399999999995</c:v>
                </c:pt>
                <c:pt idx="3">
                  <c:v>1.0248299999999999</c:v>
                </c:pt>
                <c:pt idx="4">
                  <c:v>1.6830400000000001</c:v>
                </c:pt>
                <c:pt idx="5">
                  <c:v>2.6697500000000001</c:v>
                </c:pt>
                <c:pt idx="6">
                  <c:v>4.1529699999999998</c:v>
                </c:pt>
                <c:pt idx="7">
                  <c:v>6.3927899999999998</c:v>
                </c:pt>
                <c:pt idx="8">
                  <c:v>9.80227</c:v>
                </c:pt>
                <c:pt idx="9">
                  <c:v>14.970800000000001</c:v>
                </c:pt>
                <c:pt idx="10">
                  <c:v>22.7607</c:v>
                </c:pt>
                <c:pt idx="11">
                  <c:v>34.4529</c:v>
                </c:pt>
                <c:pt idx="12">
                  <c:v>46.169899999999998</c:v>
                </c:pt>
                <c:pt idx="13">
                  <c:v>57.88</c:v>
                </c:pt>
                <c:pt idx="14">
                  <c:v>64.459000000000003</c:v>
                </c:pt>
                <c:pt idx="15">
                  <c:v>74.267799999999994</c:v>
                </c:pt>
                <c:pt idx="16">
                  <c:v>84.071600000000004</c:v>
                </c:pt>
                <c:pt idx="17">
                  <c:v>93.8857</c:v>
                </c:pt>
                <c:pt idx="18">
                  <c:v>103.71</c:v>
                </c:pt>
                <c:pt idx="19">
                  <c:v>113.542</c:v>
                </c:pt>
                <c:pt idx="20">
                  <c:v>123.38500000000001</c:v>
                </c:pt>
                <c:pt idx="21">
                  <c:v>133.238</c:v>
                </c:pt>
                <c:pt idx="22">
                  <c:v>143.119</c:v>
                </c:pt>
                <c:pt idx="23">
                  <c:v>153.03200000000001</c:v>
                </c:pt>
                <c:pt idx="24">
                  <c:v>162.97999999999999</c:v>
                </c:pt>
                <c:pt idx="25">
                  <c:v>172.26499999999999</c:v>
                </c:pt>
                <c:pt idx="26">
                  <c:v>182.28100000000001</c:v>
                </c:pt>
                <c:pt idx="27">
                  <c:v>192.35599999999999</c:v>
                </c:pt>
                <c:pt idx="28">
                  <c:v>202.49299999999999</c:v>
                </c:pt>
                <c:pt idx="29">
                  <c:v>212.68</c:v>
                </c:pt>
                <c:pt idx="30">
                  <c:v>222.91499999999999</c:v>
                </c:pt>
              </c:numCache>
            </c:numRef>
          </c:xVal>
          <c:yVal>
            <c:numRef>
              <c:f>Imperfection!$C$45:$C$75</c:f>
              <c:numCache>
                <c:formatCode>General</c:formatCode>
                <c:ptCount val="31"/>
                <c:pt idx="0">
                  <c:v>0</c:v>
                </c:pt>
                <c:pt idx="1">
                  <c:v>9.9708100000000001E-3</c:v>
                </c:pt>
                <c:pt idx="2">
                  <c:v>1.98792E-2</c:v>
                </c:pt>
                <c:pt idx="3">
                  <c:v>3.4625299999999998E-2</c:v>
                </c:pt>
                <c:pt idx="4">
                  <c:v>5.6483899999999997E-2</c:v>
                </c:pt>
                <c:pt idx="5">
                  <c:v>8.7564500000000003E-2</c:v>
                </c:pt>
                <c:pt idx="6">
                  <c:v>0.12556700000000001</c:v>
                </c:pt>
                <c:pt idx="7">
                  <c:v>0.15642600000000001</c:v>
                </c:pt>
                <c:pt idx="8">
                  <c:v>0.17102300000000001</c:v>
                </c:pt>
                <c:pt idx="9">
                  <c:v>0.17516799999999999</c:v>
                </c:pt>
                <c:pt idx="10">
                  <c:v>0.17263300000000001</c:v>
                </c:pt>
                <c:pt idx="11">
                  <c:v>0.16442200000000001</c:v>
                </c:pt>
                <c:pt idx="12">
                  <c:v>0.15527099999999999</c:v>
                </c:pt>
                <c:pt idx="13">
                  <c:v>0.146061</c:v>
                </c:pt>
                <c:pt idx="14">
                  <c:v>0.14092099999999999</c:v>
                </c:pt>
                <c:pt idx="15">
                  <c:v>0.13275400000000001</c:v>
                </c:pt>
                <c:pt idx="16">
                  <c:v>0.124685</c:v>
                </c:pt>
                <c:pt idx="17">
                  <c:v>0.11693099999999999</c:v>
                </c:pt>
                <c:pt idx="18">
                  <c:v>0.10942499999999999</c:v>
                </c:pt>
                <c:pt idx="19">
                  <c:v>0.102105</c:v>
                </c:pt>
                <c:pt idx="20">
                  <c:v>9.4917299999999996E-2</c:v>
                </c:pt>
                <c:pt idx="21">
                  <c:v>8.7824399999999997E-2</c:v>
                </c:pt>
                <c:pt idx="22">
                  <c:v>8.1079600000000002E-2</c:v>
                </c:pt>
                <c:pt idx="23">
                  <c:v>7.5345899999999993E-2</c:v>
                </c:pt>
                <c:pt idx="24">
                  <c:v>7.1341299999999996E-2</c:v>
                </c:pt>
                <c:pt idx="25">
                  <c:v>6.9745199999999993E-2</c:v>
                </c:pt>
                <c:pt idx="26">
                  <c:v>6.9142899999999993E-2</c:v>
                </c:pt>
                <c:pt idx="27">
                  <c:v>6.9896100000000003E-2</c:v>
                </c:pt>
                <c:pt idx="28">
                  <c:v>7.1857400000000002E-2</c:v>
                </c:pt>
                <c:pt idx="29">
                  <c:v>7.3641300000000007E-2</c:v>
                </c:pt>
                <c:pt idx="30">
                  <c:v>7.5471800000000006E-2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06-4E07-981A-0DDC739B3450}"/>
            </c:ext>
          </c:extLst>
        </c:ser>
        <c:ser>
          <c:idx val="3"/>
          <c:order val="3"/>
          <c:tx>
            <c:strRef>
              <c:f>Imperfection!$F$43</c:f>
              <c:strCache>
                <c:ptCount val="1"/>
                <c:pt idx="0">
                  <c:v>EM2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ysDash"/>
              <a:miter lim="800000"/>
            </a:ln>
            <a:effectLst/>
          </c:spPr>
          <c:marker>
            <c:symbol val="none"/>
          </c:marker>
          <c:xVal>
            <c:numRef>
              <c:f>Imperfection!$E$45:$E$75</c:f>
              <c:numCache>
                <c:formatCode>General</c:formatCode>
                <c:ptCount val="31"/>
                <c:pt idx="0">
                  <c:v>0</c:v>
                </c:pt>
                <c:pt idx="1">
                  <c:v>0.370977</c:v>
                </c:pt>
                <c:pt idx="2">
                  <c:v>0.74183299999999996</c:v>
                </c:pt>
                <c:pt idx="3">
                  <c:v>1.29789</c:v>
                </c:pt>
                <c:pt idx="4">
                  <c:v>2.1314899999999999</c:v>
                </c:pt>
                <c:pt idx="5">
                  <c:v>3.3803999999999998</c:v>
                </c:pt>
                <c:pt idx="6">
                  <c:v>5.25502</c:v>
                </c:pt>
                <c:pt idx="7">
                  <c:v>8.0478400000000008</c:v>
                </c:pt>
                <c:pt idx="8">
                  <c:v>12.097200000000001</c:v>
                </c:pt>
                <c:pt idx="9">
                  <c:v>16.0505</c:v>
                </c:pt>
                <c:pt idx="10">
                  <c:v>19.9876</c:v>
                </c:pt>
                <c:pt idx="11">
                  <c:v>23.907</c:v>
                </c:pt>
                <c:pt idx="12">
                  <c:v>27.796600000000002</c:v>
                </c:pt>
                <c:pt idx="13">
                  <c:v>31.661999999999999</c:v>
                </c:pt>
                <c:pt idx="14">
                  <c:v>35.510599999999997</c:v>
                </c:pt>
                <c:pt idx="15">
                  <c:v>39.343200000000003</c:v>
                </c:pt>
                <c:pt idx="16">
                  <c:v>43.162500000000001</c:v>
                </c:pt>
                <c:pt idx="17">
                  <c:v>46.981299999999997</c:v>
                </c:pt>
                <c:pt idx="18">
                  <c:v>50.813600000000001</c:v>
                </c:pt>
                <c:pt idx="19">
                  <c:v>54.668900000000001</c:v>
                </c:pt>
                <c:pt idx="20">
                  <c:v>58.552199999999999</c:v>
                </c:pt>
                <c:pt idx="21">
                  <c:v>62.464300000000001</c:v>
                </c:pt>
                <c:pt idx="22">
                  <c:v>66.400700000000001</c:v>
                </c:pt>
                <c:pt idx="23">
                  <c:v>70.364699999999999</c:v>
                </c:pt>
                <c:pt idx="24">
                  <c:v>74.357799999999997</c:v>
                </c:pt>
                <c:pt idx="25">
                  <c:v>78.379300000000001</c:v>
                </c:pt>
                <c:pt idx="26">
                  <c:v>82.425200000000004</c:v>
                </c:pt>
                <c:pt idx="27">
                  <c:v>86.495400000000004</c:v>
                </c:pt>
                <c:pt idx="28">
                  <c:v>90.587500000000006</c:v>
                </c:pt>
                <c:pt idx="29">
                  <c:v>94.700999999999993</c:v>
                </c:pt>
                <c:pt idx="30">
                  <c:v>98.836299999999994</c:v>
                </c:pt>
              </c:numCache>
            </c:numRef>
          </c:xVal>
          <c:yVal>
            <c:numRef>
              <c:f>Imperfection!$F$45:$F$75</c:f>
              <c:numCache>
                <c:formatCode>General</c:formatCode>
                <c:ptCount val="31"/>
                <c:pt idx="0">
                  <c:v>0</c:v>
                </c:pt>
                <c:pt idx="1">
                  <c:v>9.9608600000000002E-3</c:v>
                </c:pt>
                <c:pt idx="2">
                  <c:v>1.9839099999999998E-2</c:v>
                </c:pt>
                <c:pt idx="3">
                  <c:v>3.45023E-2</c:v>
                </c:pt>
                <c:pt idx="4">
                  <c:v>5.6153399999999999E-2</c:v>
                </c:pt>
                <c:pt idx="5">
                  <c:v>8.6056900000000006E-2</c:v>
                </c:pt>
                <c:pt idx="6">
                  <c:v>0.121521</c:v>
                </c:pt>
                <c:pt idx="7">
                  <c:v>0.14608499999999999</c:v>
                </c:pt>
                <c:pt idx="8">
                  <c:v>0.153166</c:v>
                </c:pt>
                <c:pt idx="9">
                  <c:v>0.15238699999999999</c:v>
                </c:pt>
                <c:pt idx="10">
                  <c:v>0.149586</c:v>
                </c:pt>
                <c:pt idx="11">
                  <c:v>0.145764</c:v>
                </c:pt>
                <c:pt idx="12">
                  <c:v>0.141238</c:v>
                </c:pt>
                <c:pt idx="13">
                  <c:v>0.13630200000000001</c:v>
                </c:pt>
                <c:pt idx="14">
                  <c:v>0.13119400000000001</c:v>
                </c:pt>
                <c:pt idx="15">
                  <c:v>0.12601799999999999</c:v>
                </c:pt>
                <c:pt idx="16">
                  <c:v>0.120852</c:v>
                </c:pt>
                <c:pt idx="17">
                  <c:v>0.11584</c:v>
                </c:pt>
                <c:pt idx="18">
                  <c:v>0.111195</c:v>
                </c:pt>
                <c:pt idx="19">
                  <c:v>0.107076</c:v>
                </c:pt>
                <c:pt idx="20">
                  <c:v>0.103573</c:v>
                </c:pt>
                <c:pt idx="21">
                  <c:v>0.100551</c:v>
                </c:pt>
                <c:pt idx="22">
                  <c:v>9.7878099999999996E-2</c:v>
                </c:pt>
                <c:pt idx="23">
                  <c:v>9.5658000000000007E-2</c:v>
                </c:pt>
                <c:pt idx="24">
                  <c:v>9.39411E-2</c:v>
                </c:pt>
                <c:pt idx="25">
                  <c:v>9.2663999999999996E-2</c:v>
                </c:pt>
                <c:pt idx="26">
                  <c:v>9.1718300000000003E-2</c:v>
                </c:pt>
                <c:pt idx="27">
                  <c:v>9.1006400000000001E-2</c:v>
                </c:pt>
                <c:pt idx="28">
                  <c:v>9.0495000000000006E-2</c:v>
                </c:pt>
                <c:pt idx="29">
                  <c:v>9.0189000000000005E-2</c:v>
                </c:pt>
                <c:pt idx="30">
                  <c:v>9.0058100000000002E-2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06-4E07-981A-0DDC739B3450}"/>
            </c:ext>
          </c:extLst>
        </c:ser>
        <c:ser>
          <c:idx val="4"/>
          <c:order val="4"/>
          <c:tx>
            <c:strRef>
              <c:f>Imperfection!$I$43</c:f>
              <c:strCache>
                <c:ptCount val="1"/>
                <c:pt idx="0">
                  <c:v>EM3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Dot"/>
              <a:miter lim="800000"/>
            </a:ln>
            <a:effectLst/>
          </c:spPr>
          <c:marker>
            <c:symbol val="none"/>
          </c:marker>
          <c:xVal>
            <c:numRef>
              <c:f>Imperfection!$H$45:$H$75</c:f>
              <c:numCache>
                <c:formatCode>General</c:formatCode>
                <c:ptCount val="31"/>
                <c:pt idx="0">
                  <c:v>0</c:v>
                </c:pt>
                <c:pt idx="1">
                  <c:v>0.37098300000000001</c:v>
                </c:pt>
                <c:pt idx="2">
                  <c:v>0.74184600000000001</c:v>
                </c:pt>
                <c:pt idx="3">
                  <c:v>1.29792</c:v>
                </c:pt>
                <c:pt idx="4">
                  <c:v>2.1315300000000001</c:v>
                </c:pt>
                <c:pt idx="5">
                  <c:v>3.3804599999999998</c:v>
                </c:pt>
                <c:pt idx="6">
                  <c:v>5.2551100000000002</c:v>
                </c:pt>
                <c:pt idx="7">
                  <c:v>8.0480499999999999</c:v>
                </c:pt>
                <c:pt idx="8">
                  <c:v>12.0976</c:v>
                </c:pt>
                <c:pt idx="9">
                  <c:v>16.050999999999998</c:v>
                </c:pt>
                <c:pt idx="10">
                  <c:v>19.988199999999999</c:v>
                </c:pt>
                <c:pt idx="11">
                  <c:v>23.907599999999999</c:v>
                </c:pt>
                <c:pt idx="12">
                  <c:v>27.7972</c:v>
                </c:pt>
                <c:pt idx="13">
                  <c:v>31.662600000000001</c:v>
                </c:pt>
                <c:pt idx="14">
                  <c:v>35.511099999999999</c:v>
                </c:pt>
                <c:pt idx="15">
                  <c:v>39.343499999999999</c:v>
                </c:pt>
                <c:pt idx="16">
                  <c:v>43.162700000000001</c:v>
                </c:pt>
                <c:pt idx="17">
                  <c:v>46.981400000000001</c:v>
                </c:pt>
                <c:pt idx="18">
                  <c:v>50.813699999999997</c:v>
                </c:pt>
                <c:pt idx="19">
                  <c:v>54.668999999999997</c:v>
                </c:pt>
                <c:pt idx="20">
                  <c:v>58.552199999999999</c:v>
                </c:pt>
                <c:pt idx="21">
                  <c:v>62.464300000000001</c:v>
                </c:pt>
                <c:pt idx="22">
                  <c:v>66.400700000000001</c:v>
                </c:pt>
                <c:pt idx="23">
                  <c:v>70.364699999999999</c:v>
                </c:pt>
                <c:pt idx="24">
                  <c:v>74.357900000000001</c:v>
                </c:pt>
                <c:pt idx="25">
                  <c:v>78.379400000000004</c:v>
                </c:pt>
                <c:pt idx="26">
                  <c:v>82.425299999999993</c:v>
                </c:pt>
                <c:pt idx="27">
                  <c:v>86.495400000000004</c:v>
                </c:pt>
                <c:pt idx="28">
                  <c:v>90.587599999999995</c:v>
                </c:pt>
                <c:pt idx="29">
                  <c:v>94.701099999999997</c:v>
                </c:pt>
                <c:pt idx="30">
                  <c:v>98.836399999999998</c:v>
                </c:pt>
              </c:numCache>
            </c:numRef>
          </c:xVal>
          <c:yVal>
            <c:numRef>
              <c:f>Imperfection!$I$45:$I$75</c:f>
              <c:numCache>
                <c:formatCode>General</c:formatCode>
                <c:ptCount val="31"/>
                <c:pt idx="0">
                  <c:v>0</c:v>
                </c:pt>
                <c:pt idx="1">
                  <c:v>9.9608600000000002E-3</c:v>
                </c:pt>
                <c:pt idx="2">
                  <c:v>1.9839099999999998E-2</c:v>
                </c:pt>
                <c:pt idx="3">
                  <c:v>3.45023E-2</c:v>
                </c:pt>
                <c:pt idx="4">
                  <c:v>5.6153399999999999E-2</c:v>
                </c:pt>
                <c:pt idx="5">
                  <c:v>8.6056900000000006E-2</c:v>
                </c:pt>
                <c:pt idx="6">
                  <c:v>0.121521</c:v>
                </c:pt>
                <c:pt idx="7">
                  <c:v>0.14608699999999999</c:v>
                </c:pt>
                <c:pt idx="8">
                  <c:v>0.153171</c:v>
                </c:pt>
                <c:pt idx="9">
                  <c:v>0.152393</c:v>
                </c:pt>
                <c:pt idx="10">
                  <c:v>0.149593</c:v>
                </c:pt>
                <c:pt idx="11">
                  <c:v>0.14577200000000001</c:v>
                </c:pt>
                <c:pt idx="12">
                  <c:v>0.14124600000000001</c:v>
                </c:pt>
                <c:pt idx="13">
                  <c:v>0.13630900000000001</c:v>
                </c:pt>
                <c:pt idx="14">
                  <c:v>0.13119900000000001</c:v>
                </c:pt>
                <c:pt idx="15">
                  <c:v>0.12601999999999999</c:v>
                </c:pt>
                <c:pt idx="16">
                  <c:v>0.120851</c:v>
                </c:pt>
                <c:pt idx="17">
                  <c:v>0.11583599999999999</c:v>
                </c:pt>
                <c:pt idx="18">
                  <c:v>0.111189</c:v>
                </c:pt>
                <c:pt idx="19">
                  <c:v>0.107069</c:v>
                </c:pt>
                <c:pt idx="20">
                  <c:v>0.103564</c:v>
                </c:pt>
                <c:pt idx="21">
                  <c:v>0.10054100000000001</c:v>
                </c:pt>
                <c:pt idx="22">
                  <c:v>9.7868300000000005E-2</c:v>
                </c:pt>
                <c:pt idx="23">
                  <c:v>9.5647800000000005E-2</c:v>
                </c:pt>
                <c:pt idx="24">
                  <c:v>9.39305E-2</c:v>
                </c:pt>
                <c:pt idx="25">
                  <c:v>9.2652600000000002E-2</c:v>
                </c:pt>
                <c:pt idx="26">
                  <c:v>9.1705900000000007E-2</c:v>
                </c:pt>
                <c:pt idx="27">
                  <c:v>9.0993000000000004E-2</c:v>
                </c:pt>
                <c:pt idx="28">
                  <c:v>9.0480699999999997E-2</c:v>
                </c:pt>
                <c:pt idx="29">
                  <c:v>9.0173699999999996E-2</c:v>
                </c:pt>
                <c:pt idx="30">
                  <c:v>9.0041899999999994E-2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06-4E07-981A-0DDC739B3450}"/>
            </c:ext>
          </c:extLst>
        </c:ser>
        <c:ser>
          <c:idx val="5"/>
          <c:order val="5"/>
          <c:tx>
            <c:strRef>
              <c:f>Imperfection!$L$43</c:f>
              <c:strCache>
                <c:ptCount val="1"/>
                <c:pt idx="0">
                  <c:v>EM4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DotDot"/>
              <a:miter lim="800000"/>
            </a:ln>
            <a:effectLst/>
          </c:spPr>
          <c:marker>
            <c:symbol val="none"/>
          </c:marker>
          <c:xVal>
            <c:numRef>
              <c:f>Imperfection!$K$45:$K$75</c:f>
              <c:numCache>
                <c:formatCode>General</c:formatCode>
                <c:ptCount val="31"/>
                <c:pt idx="0">
                  <c:v>0</c:v>
                </c:pt>
                <c:pt idx="1">
                  <c:v>0.340225</c:v>
                </c:pt>
                <c:pt idx="2">
                  <c:v>0.67988700000000002</c:v>
                </c:pt>
                <c:pt idx="3">
                  <c:v>1.18832</c:v>
                </c:pt>
                <c:pt idx="4">
                  <c:v>1.9485399999999999</c:v>
                </c:pt>
                <c:pt idx="5">
                  <c:v>3.0887500000000001</c:v>
                </c:pt>
                <c:pt idx="6">
                  <c:v>4.8169700000000004</c:v>
                </c:pt>
                <c:pt idx="7">
                  <c:v>7.5003599999999997</c:v>
                </c:pt>
                <c:pt idx="8">
                  <c:v>11.717000000000001</c:v>
                </c:pt>
                <c:pt idx="9">
                  <c:v>18.217400000000001</c:v>
                </c:pt>
                <c:pt idx="10">
                  <c:v>24.778199999999998</c:v>
                </c:pt>
                <c:pt idx="11">
                  <c:v>30.604399999999998</c:v>
                </c:pt>
                <c:pt idx="12">
                  <c:v>37.217500000000001</c:v>
                </c:pt>
                <c:pt idx="13">
                  <c:v>43.8429</c:v>
                </c:pt>
                <c:pt idx="14">
                  <c:v>53.790500000000002</c:v>
                </c:pt>
                <c:pt idx="15">
                  <c:v>63.738799999999998</c:v>
                </c:pt>
                <c:pt idx="16">
                  <c:v>73.674700000000001</c:v>
                </c:pt>
                <c:pt idx="17">
                  <c:v>83.603399999999993</c:v>
                </c:pt>
                <c:pt idx="18">
                  <c:v>93.527900000000002</c:v>
                </c:pt>
                <c:pt idx="19">
                  <c:v>103.45</c:v>
                </c:pt>
                <c:pt idx="20">
                  <c:v>113.375</c:v>
                </c:pt>
                <c:pt idx="21">
                  <c:v>123.309</c:v>
                </c:pt>
                <c:pt idx="22">
                  <c:v>133.26900000000001</c:v>
                </c:pt>
                <c:pt idx="23">
                  <c:v>143.255</c:v>
                </c:pt>
                <c:pt idx="24">
                  <c:v>153.27699999999999</c:v>
                </c:pt>
                <c:pt idx="25">
                  <c:v>153.434</c:v>
                </c:pt>
                <c:pt idx="26">
                  <c:v>153.59100000000001</c:v>
                </c:pt>
                <c:pt idx="27">
                  <c:v>153.74799999999999</c:v>
                </c:pt>
                <c:pt idx="28">
                  <c:v>153.905</c:v>
                </c:pt>
                <c:pt idx="29">
                  <c:v>154.06700000000001</c:v>
                </c:pt>
                <c:pt idx="30">
                  <c:v>154.233</c:v>
                </c:pt>
              </c:numCache>
            </c:numRef>
          </c:xVal>
          <c:yVal>
            <c:numRef>
              <c:f>Imperfection!$L$45:$L$75</c:f>
              <c:numCache>
                <c:formatCode>General</c:formatCode>
                <c:ptCount val="31"/>
                <c:pt idx="0">
                  <c:v>0</c:v>
                </c:pt>
                <c:pt idx="1">
                  <c:v>9.9570100000000005E-3</c:v>
                </c:pt>
                <c:pt idx="2">
                  <c:v>1.98237E-2</c:v>
                </c:pt>
                <c:pt idx="3">
                  <c:v>3.4455399999999997E-2</c:v>
                </c:pt>
                <c:pt idx="4">
                  <c:v>5.6027100000000003E-2</c:v>
                </c:pt>
                <c:pt idx="5">
                  <c:v>8.57401E-2</c:v>
                </c:pt>
                <c:pt idx="6">
                  <c:v>0.121</c:v>
                </c:pt>
                <c:pt idx="7">
                  <c:v>0.14742</c:v>
                </c:pt>
                <c:pt idx="8">
                  <c:v>0.159585</c:v>
                </c:pt>
                <c:pt idx="9">
                  <c:v>0.16117799999999999</c:v>
                </c:pt>
                <c:pt idx="10">
                  <c:v>0.15812000000000001</c:v>
                </c:pt>
                <c:pt idx="11">
                  <c:v>0.15428900000000001</c:v>
                </c:pt>
                <c:pt idx="12">
                  <c:v>0.14937500000000001</c:v>
                </c:pt>
                <c:pt idx="13">
                  <c:v>0.14427499999999999</c:v>
                </c:pt>
                <c:pt idx="14">
                  <c:v>0.136521</c:v>
                </c:pt>
                <c:pt idx="15">
                  <c:v>0.12882299999999999</c:v>
                </c:pt>
                <c:pt idx="16">
                  <c:v>0.12112199999999999</c:v>
                </c:pt>
                <c:pt idx="17">
                  <c:v>0.11347400000000001</c:v>
                </c:pt>
                <c:pt idx="18">
                  <c:v>0.106033</c:v>
                </c:pt>
                <c:pt idx="19">
                  <c:v>9.8774500000000001E-2</c:v>
                </c:pt>
                <c:pt idx="20">
                  <c:v>9.1655100000000003E-2</c:v>
                </c:pt>
                <c:pt idx="21">
                  <c:v>8.4684999999999996E-2</c:v>
                </c:pt>
                <c:pt idx="22">
                  <c:v>7.8264399999999998E-2</c:v>
                </c:pt>
                <c:pt idx="23">
                  <c:v>7.2981199999999996E-2</c:v>
                </c:pt>
                <c:pt idx="24">
                  <c:v>6.9355899999999998E-2</c:v>
                </c:pt>
                <c:pt idx="25">
                  <c:v>6.9316100000000005E-2</c:v>
                </c:pt>
                <c:pt idx="26">
                  <c:v>6.9276900000000002E-2</c:v>
                </c:pt>
                <c:pt idx="27">
                  <c:v>6.9238099999999997E-2</c:v>
                </c:pt>
                <c:pt idx="28">
                  <c:v>6.9199899999999995E-2</c:v>
                </c:pt>
                <c:pt idx="29">
                  <c:v>6.9160899999999997E-2</c:v>
                </c:pt>
                <c:pt idx="30">
                  <c:v>6.9120899999999999E-2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006-4E07-981A-0DDC739B3450}"/>
            </c:ext>
          </c:extLst>
        </c:ser>
        <c:ser>
          <c:idx val="6"/>
          <c:order val="6"/>
          <c:tx>
            <c:strRef>
              <c:f>Imperfection!$O$43</c:f>
              <c:strCache>
                <c:ptCount val="1"/>
                <c:pt idx="0">
                  <c:v>EM5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ysDot"/>
              <a:miter lim="800000"/>
            </a:ln>
            <a:effectLst/>
          </c:spPr>
          <c:marker>
            <c:symbol val="none"/>
          </c:marker>
          <c:xVal>
            <c:numRef>
              <c:f>Imperfection!$N$45:$N$75</c:f>
              <c:numCache>
                <c:formatCode>General</c:formatCode>
                <c:ptCount val="31"/>
                <c:pt idx="0">
                  <c:v>0</c:v>
                </c:pt>
                <c:pt idx="1">
                  <c:v>0.34023799999999998</c:v>
                </c:pt>
                <c:pt idx="2">
                  <c:v>0.67991299999999999</c:v>
                </c:pt>
                <c:pt idx="3">
                  <c:v>1.1883600000000001</c:v>
                </c:pt>
                <c:pt idx="4">
                  <c:v>1.94862</c:v>
                </c:pt>
                <c:pt idx="5">
                  <c:v>3.08887</c:v>
                </c:pt>
                <c:pt idx="6">
                  <c:v>4.8171499999999998</c:v>
                </c:pt>
                <c:pt idx="7">
                  <c:v>7.5005899999999999</c:v>
                </c:pt>
                <c:pt idx="8">
                  <c:v>11.7173</c:v>
                </c:pt>
                <c:pt idx="9">
                  <c:v>18.217600000000001</c:v>
                </c:pt>
                <c:pt idx="10">
                  <c:v>24.7759</c:v>
                </c:pt>
                <c:pt idx="11">
                  <c:v>30.888300000000001</c:v>
                </c:pt>
                <c:pt idx="12">
                  <c:v>37.502000000000002</c:v>
                </c:pt>
                <c:pt idx="13">
                  <c:v>44.127800000000001</c:v>
                </c:pt>
                <c:pt idx="14">
                  <c:v>54.075400000000002</c:v>
                </c:pt>
                <c:pt idx="15">
                  <c:v>64.023300000000006</c:v>
                </c:pt>
                <c:pt idx="16">
                  <c:v>73.958699999999993</c:v>
                </c:pt>
                <c:pt idx="17">
                  <c:v>83.887</c:v>
                </c:pt>
                <c:pt idx="18">
                  <c:v>93.811300000000003</c:v>
                </c:pt>
                <c:pt idx="19">
                  <c:v>103.733</c:v>
                </c:pt>
                <c:pt idx="20">
                  <c:v>113.658</c:v>
                </c:pt>
                <c:pt idx="21">
                  <c:v>123.593</c:v>
                </c:pt>
                <c:pt idx="22">
                  <c:v>133.553</c:v>
                </c:pt>
                <c:pt idx="23">
                  <c:v>143.54</c:v>
                </c:pt>
                <c:pt idx="24">
                  <c:v>153.56299999999999</c:v>
                </c:pt>
                <c:pt idx="25">
                  <c:v>162.88</c:v>
                </c:pt>
                <c:pt idx="26">
                  <c:v>173.02199999999999</c:v>
                </c:pt>
                <c:pt idx="27">
                  <c:v>183.20599999999999</c:v>
                </c:pt>
                <c:pt idx="28">
                  <c:v>193.447</c:v>
                </c:pt>
                <c:pt idx="29">
                  <c:v>203.74</c:v>
                </c:pt>
                <c:pt idx="30">
                  <c:v>214.08199999999999</c:v>
                </c:pt>
              </c:numCache>
            </c:numRef>
          </c:xVal>
          <c:yVal>
            <c:numRef>
              <c:f>Imperfection!$O$45:$O$75</c:f>
              <c:numCache>
                <c:formatCode>General</c:formatCode>
                <c:ptCount val="31"/>
                <c:pt idx="0">
                  <c:v>0</c:v>
                </c:pt>
                <c:pt idx="1">
                  <c:v>9.9570200000000005E-3</c:v>
                </c:pt>
                <c:pt idx="2">
                  <c:v>1.98237E-2</c:v>
                </c:pt>
                <c:pt idx="3">
                  <c:v>3.4455399999999997E-2</c:v>
                </c:pt>
                <c:pt idx="4">
                  <c:v>5.6027199999999999E-2</c:v>
                </c:pt>
                <c:pt idx="5">
                  <c:v>8.5740300000000005E-2</c:v>
                </c:pt>
                <c:pt idx="6">
                  <c:v>0.121001</c:v>
                </c:pt>
                <c:pt idx="7">
                  <c:v>0.14741899999999999</c:v>
                </c:pt>
                <c:pt idx="8">
                  <c:v>0.159584</c:v>
                </c:pt>
                <c:pt idx="9">
                  <c:v>0.16117799999999999</c:v>
                </c:pt>
                <c:pt idx="10">
                  <c:v>0.15812100000000001</c:v>
                </c:pt>
                <c:pt idx="11">
                  <c:v>0.154081</c:v>
                </c:pt>
                <c:pt idx="12">
                  <c:v>0.14915600000000001</c:v>
                </c:pt>
                <c:pt idx="13">
                  <c:v>0.14405299999999999</c:v>
                </c:pt>
                <c:pt idx="14">
                  <c:v>0.1363</c:v>
                </c:pt>
                <c:pt idx="15">
                  <c:v>0.128604</c:v>
                </c:pt>
                <c:pt idx="16">
                  <c:v>0.12090099999999999</c:v>
                </c:pt>
                <c:pt idx="17">
                  <c:v>0.113259</c:v>
                </c:pt>
                <c:pt idx="18">
                  <c:v>0.105823</c:v>
                </c:pt>
                <c:pt idx="19">
                  <c:v>9.8569699999999996E-2</c:v>
                </c:pt>
                <c:pt idx="20">
                  <c:v>9.1453900000000005E-2</c:v>
                </c:pt>
                <c:pt idx="21">
                  <c:v>8.4492100000000001E-2</c:v>
                </c:pt>
                <c:pt idx="22">
                  <c:v>7.8096700000000005E-2</c:v>
                </c:pt>
                <c:pt idx="23">
                  <c:v>7.2854199999999994E-2</c:v>
                </c:pt>
                <c:pt idx="24">
                  <c:v>6.9282399999999994E-2</c:v>
                </c:pt>
                <c:pt idx="25">
                  <c:v>6.7791799999999999E-2</c:v>
                </c:pt>
                <c:pt idx="26">
                  <c:v>6.7842E-2</c:v>
                </c:pt>
                <c:pt idx="27">
                  <c:v>6.9827399999999998E-2</c:v>
                </c:pt>
                <c:pt idx="28">
                  <c:v>7.2091500000000003E-2</c:v>
                </c:pt>
                <c:pt idx="29">
                  <c:v>7.4464900000000001E-2</c:v>
                </c:pt>
                <c:pt idx="30">
                  <c:v>7.6953400000000005E-2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006-4E07-981A-0DDC739B3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69663"/>
        <c:axId val="128069183"/>
      </c:scatterChart>
      <c:valAx>
        <c:axId val="128069663"/>
        <c:scaling>
          <c:orientation val="minMax"/>
          <c:max val="1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69183"/>
        <c:crosses val="autoZero"/>
        <c:crossBetween val="midCat"/>
      </c:valAx>
      <c:valAx>
        <c:axId val="128069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Pressure</a:t>
                </a:r>
                <a:r>
                  <a:rPr lang="en-MY" baseline="0"/>
                  <a:t> (MPa)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69663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9525">
                <a:solidFill>
                  <a:schemeClr val="dk1"/>
                </a:solidFill>
              </a:ln>
              <a:effectLst/>
            </c:spPr>
          </c:marker>
          <c:xVal>
            <c:numRef>
              <c:f>'Fatigue Life'!$L$4:$L$6</c:f>
              <c:numCache>
                <c:formatCode>0.0</c:formatCode>
                <c:ptCount val="3"/>
                <c:pt idx="0" formatCode="0">
                  <c:v>141797.05148929855</c:v>
                </c:pt>
                <c:pt idx="1">
                  <c:v>91318.676112559595</c:v>
                </c:pt>
                <c:pt idx="2" formatCode="0.000E+00">
                  <c:v>80763888.76300773</c:v>
                </c:pt>
              </c:numCache>
            </c:numRef>
          </c:xVal>
          <c:yVal>
            <c:numRef>
              <c:f>'Fatigue Life'!$K$4:$K$6</c:f>
              <c:numCache>
                <c:formatCode>0</c:formatCode>
                <c:ptCount val="3"/>
                <c:pt idx="0">
                  <c:v>143.14460419978482</c:v>
                </c:pt>
                <c:pt idx="1">
                  <c:v>156.94760420831255</c:v>
                </c:pt>
                <c:pt idx="2">
                  <c:v>37.958926121853082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F5-4C16-9403-354DFC509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2896463"/>
        <c:axId val="1852900303"/>
      </c:scatterChart>
      <c:scatterChart>
        <c:scatterStyle val="smoothMarker"/>
        <c:varyColors val="0"/>
        <c:ser>
          <c:idx val="1"/>
          <c:order val="1"/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'Fatigue Life'!$N$4:$N$6</c:f>
              <c:numCache>
                <c:formatCode>0.000</c:formatCode>
                <c:ptCount val="3"/>
                <c:pt idx="0">
                  <c:v>10000</c:v>
                </c:pt>
                <c:pt idx="1">
                  <c:v>1000000</c:v>
                </c:pt>
                <c:pt idx="2">
                  <c:v>1000000000</c:v>
                </c:pt>
              </c:numCache>
            </c:numRef>
          </c:xVal>
          <c:yVal>
            <c:numRef>
              <c:f>'Fatigue Life'!$M$4:$M$6</c:f>
              <c:numCache>
                <c:formatCode>0.000</c:formatCode>
                <c:ptCount val="3"/>
                <c:pt idx="0">
                  <c:v>249.2893701630689</c:v>
                </c:pt>
                <c:pt idx="1">
                  <c:v>95.126991157716006</c:v>
                </c:pt>
                <c:pt idx="2">
                  <c:v>22.423518556282627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F5-4C16-9403-354DFC509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2896463"/>
        <c:axId val="1852900303"/>
      </c:scatterChart>
      <c:valAx>
        <c:axId val="1852896463"/>
        <c:scaling>
          <c:logBase val="10"/>
          <c:orientation val="minMax"/>
          <c:max val="1000000000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0" u="none" strike="noStrike" baseline="0"/>
                  <a:t>Fatigue Life, </a:t>
                </a:r>
                <a:r>
                  <a:rPr lang="en-MY" sz="1000" b="0" i="1" u="none" strike="noStrike" baseline="0">
                    <a:effectLst/>
                  </a:rPr>
                  <a:t>N</a:t>
                </a:r>
                <a:r>
                  <a:rPr lang="en-MY" sz="800" b="0" i="1" u="none" strike="noStrike" baseline="0">
                    <a:effectLst/>
                  </a:rPr>
                  <a:t>f</a:t>
                </a:r>
                <a:r>
                  <a:rPr lang="en-MY" sz="1000" b="0" i="0" u="none" strike="noStrike" baseline="0"/>
                  <a:t> (cycles)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900303"/>
        <c:crosses val="autoZero"/>
        <c:crossBetween val="midCat"/>
      </c:valAx>
      <c:valAx>
        <c:axId val="1852900303"/>
        <c:scaling>
          <c:orientation val="minMax"/>
          <c:max val="200"/>
          <c:min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0" u="none" strike="noStrike" baseline="0"/>
                  <a:t>Equivalent Alternating Stress</a:t>
                </a:r>
                <a:r>
                  <a:rPr lang="en-MY" sz="1000" b="0" i="1" u="none" strike="noStrike" baseline="0"/>
                  <a:t> </a:t>
                </a:r>
                <a:r>
                  <a:rPr lang="en-MY" sz="1000" b="0" i="0" u="none" strike="noStrike" baseline="0"/>
                  <a:t>(MPa)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89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GNA</c:v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NL!$B$4:$B$20</c:f>
              <c:numCache>
                <c:formatCode>General</c:formatCode>
                <c:ptCount val="17"/>
                <c:pt idx="0">
                  <c:v>0</c:v>
                </c:pt>
                <c:pt idx="1">
                  <c:v>1.23244</c:v>
                </c:pt>
                <c:pt idx="2">
                  <c:v>2.4640499999999999</c:v>
                </c:pt>
                <c:pt idx="3">
                  <c:v>4.3101000000000003</c:v>
                </c:pt>
                <c:pt idx="4">
                  <c:v>7.0766</c:v>
                </c:pt>
                <c:pt idx="5">
                  <c:v>11.222200000000001</c:v>
                </c:pt>
                <c:pt idx="6">
                  <c:v>17.435700000000001</c:v>
                </c:pt>
                <c:pt idx="7">
                  <c:v>26.7559</c:v>
                </c:pt>
                <c:pt idx="8">
                  <c:v>40.758800000000001</c:v>
                </c:pt>
                <c:pt idx="9">
                  <c:v>43.468400000000003</c:v>
                </c:pt>
                <c:pt idx="10">
                  <c:v>46.985799999999998</c:v>
                </c:pt>
                <c:pt idx="11">
                  <c:v>50.507199999999997</c:v>
                </c:pt>
                <c:pt idx="12">
                  <c:v>55.796799999999998</c:v>
                </c:pt>
                <c:pt idx="13">
                  <c:v>63.747900000000001</c:v>
                </c:pt>
                <c:pt idx="14">
                  <c:v>75.711799999999997</c:v>
                </c:pt>
                <c:pt idx="15">
                  <c:v>93.743399999999994</c:v>
                </c:pt>
                <c:pt idx="16">
                  <c:v>120.99299999999999</c:v>
                </c:pt>
              </c:numCache>
            </c:numRef>
          </c:xVal>
          <c:yVal>
            <c:numRef>
              <c:f>NL!$C$4:$C$20</c:f>
              <c:numCache>
                <c:formatCode>General</c:formatCode>
                <c:ptCount val="17"/>
                <c:pt idx="0">
                  <c:v>0</c:v>
                </c:pt>
                <c:pt idx="1">
                  <c:v>9.7113900000000003E-3</c:v>
                </c:pt>
                <c:pt idx="2">
                  <c:v>1.8843499999999999E-2</c:v>
                </c:pt>
                <c:pt idx="3">
                  <c:v>3.1506800000000001E-2</c:v>
                </c:pt>
                <c:pt idx="4">
                  <c:v>4.8324300000000001E-2</c:v>
                </c:pt>
                <c:pt idx="5">
                  <c:v>6.9138400000000003E-2</c:v>
                </c:pt>
                <c:pt idx="6">
                  <c:v>9.1933799999999996E-2</c:v>
                </c:pt>
                <c:pt idx="7">
                  <c:v>0.111488</c:v>
                </c:pt>
                <c:pt idx="8">
                  <c:v>0.11880499999999999</c:v>
                </c:pt>
                <c:pt idx="9">
                  <c:v>0.118146</c:v>
                </c:pt>
                <c:pt idx="10">
                  <c:v>0.116559</c:v>
                </c:pt>
                <c:pt idx="11">
                  <c:v>0.114258</c:v>
                </c:pt>
                <c:pt idx="12">
                  <c:v>0.10970299999999999</c:v>
                </c:pt>
                <c:pt idx="13">
                  <c:v>0.100983</c:v>
                </c:pt>
                <c:pt idx="14">
                  <c:v>8.5246600000000006E-2</c:v>
                </c:pt>
                <c:pt idx="15">
                  <c:v>5.9526200000000001E-2</c:v>
                </c:pt>
                <c:pt idx="16">
                  <c:v>2.4351500000000002E-2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7F-4BBE-8073-A9579A0215BD}"/>
            </c:ext>
          </c:extLst>
        </c:ser>
        <c:ser>
          <c:idx val="2"/>
          <c:order val="1"/>
          <c:tx>
            <c:v>GMNA - Fy = 270 MPa</c:v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NL!$K$4:$K$34</c:f>
              <c:numCache>
                <c:formatCode>General</c:formatCode>
                <c:ptCount val="31"/>
                <c:pt idx="0">
                  <c:v>0</c:v>
                </c:pt>
                <c:pt idx="1">
                  <c:v>1.23244</c:v>
                </c:pt>
                <c:pt idx="2">
                  <c:v>2.4640499999999999</c:v>
                </c:pt>
                <c:pt idx="3">
                  <c:v>4.3101000000000003</c:v>
                </c:pt>
                <c:pt idx="4">
                  <c:v>7.0849099999999998</c:v>
                </c:pt>
                <c:pt idx="5">
                  <c:v>11.266299999999999</c:v>
                </c:pt>
                <c:pt idx="6">
                  <c:v>13.6248</c:v>
                </c:pt>
                <c:pt idx="7">
                  <c:v>17.163399999999999</c:v>
                </c:pt>
                <c:pt idx="8">
                  <c:v>22.485600000000002</c:v>
                </c:pt>
                <c:pt idx="9">
                  <c:v>27.8125</c:v>
                </c:pt>
                <c:pt idx="10">
                  <c:v>32.968299999999999</c:v>
                </c:pt>
                <c:pt idx="11">
                  <c:v>38.526499999999999</c:v>
                </c:pt>
                <c:pt idx="12">
                  <c:v>39.853700000000003</c:v>
                </c:pt>
                <c:pt idx="13">
                  <c:v>41.180599999999998</c:v>
                </c:pt>
                <c:pt idx="14">
                  <c:v>43.168799999999997</c:v>
                </c:pt>
                <c:pt idx="15">
                  <c:v>46.148000000000003</c:v>
                </c:pt>
                <c:pt idx="16">
                  <c:v>49.124699999999997</c:v>
                </c:pt>
                <c:pt idx="17">
                  <c:v>52.101599999999998</c:v>
                </c:pt>
                <c:pt idx="18">
                  <c:v>55.078699999999998</c:v>
                </c:pt>
                <c:pt idx="19">
                  <c:v>58.058399999999999</c:v>
                </c:pt>
                <c:pt idx="20">
                  <c:v>61.041600000000003</c:v>
                </c:pt>
                <c:pt idx="21">
                  <c:v>64.029700000000005</c:v>
                </c:pt>
                <c:pt idx="22">
                  <c:v>67.022000000000006</c:v>
                </c:pt>
                <c:pt idx="23">
                  <c:v>70.018299999999996</c:v>
                </c:pt>
                <c:pt idx="24">
                  <c:v>73.018600000000006</c:v>
                </c:pt>
                <c:pt idx="25">
                  <c:v>76.023499999999999</c:v>
                </c:pt>
                <c:pt idx="26">
                  <c:v>80.535200000000003</c:v>
                </c:pt>
                <c:pt idx="27">
                  <c:v>85.058800000000005</c:v>
                </c:pt>
                <c:pt idx="28">
                  <c:v>89.589799999999997</c:v>
                </c:pt>
                <c:pt idx="29">
                  <c:v>93.763499999999993</c:v>
                </c:pt>
                <c:pt idx="30">
                  <c:v>98.299199999999999</c:v>
                </c:pt>
              </c:numCache>
            </c:numRef>
          </c:xVal>
          <c:yVal>
            <c:numRef>
              <c:f>NL!$L$4:$L$34</c:f>
              <c:numCache>
                <c:formatCode>General</c:formatCode>
                <c:ptCount val="31"/>
                <c:pt idx="0">
                  <c:v>0</c:v>
                </c:pt>
                <c:pt idx="1">
                  <c:v>9.7113900000000003E-3</c:v>
                </c:pt>
                <c:pt idx="2">
                  <c:v>1.8843499999999999E-2</c:v>
                </c:pt>
                <c:pt idx="3">
                  <c:v>3.1506800000000001E-2</c:v>
                </c:pt>
                <c:pt idx="4">
                  <c:v>4.09056E-2</c:v>
                </c:pt>
                <c:pt idx="5">
                  <c:v>4.3752300000000001E-2</c:v>
                </c:pt>
                <c:pt idx="6">
                  <c:v>4.3619499999999999E-2</c:v>
                </c:pt>
                <c:pt idx="7">
                  <c:v>4.3055499999999997E-2</c:v>
                </c:pt>
                <c:pt idx="8">
                  <c:v>4.1103899999999999E-2</c:v>
                </c:pt>
                <c:pt idx="9">
                  <c:v>3.8865700000000003E-2</c:v>
                </c:pt>
                <c:pt idx="10">
                  <c:v>3.6612800000000001E-2</c:v>
                </c:pt>
                <c:pt idx="11">
                  <c:v>3.4152099999999998E-2</c:v>
                </c:pt>
                <c:pt idx="12">
                  <c:v>3.3564799999999999E-2</c:v>
                </c:pt>
                <c:pt idx="13">
                  <c:v>3.2970899999999997E-2</c:v>
                </c:pt>
                <c:pt idx="14">
                  <c:v>3.2063500000000002E-2</c:v>
                </c:pt>
                <c:pt idx="15">
                  <c:v>3.06775E-2</c:v>
                </c:pt>
                <c:pt idx="16">
                  <c:v>2.92854E-2</c:v>
                </c:pt>
                <c:pt idx="17">
                  <c:v>2.7898099999999999E-2</c:v>
                </c:pt>
                <c:pt idx="18">
                  <c:v>2.6527999999999999E-2</c:v>
                </c:pt>
                <c:pt idx="19">
                  <c:v>2.5206800000000001E-2</c:v>
                </c:pt>
                <c:pt idx="20">
                  <c:v>2.3975E-2</c:v>
                </c:pt>
                <c:pt idx="21">
                  <c:v>2.2869500000000001E-2</c:v>
                </c:pt>
                <c:pt idx="22">
                  <c:v>2.1920499999999999E-2</c:v>
                </c:pt>
                <c:pt idx="23">
                  <c:v>2.1151799999999998E-2</c:v>
                </c:pt>
                <c:pt idx="24">
                  <c:v>2.0579799999999999E-2</c:v>
                </c:pt>
                <c:pt idx="25">
                  <c:v>2.0176199999999998E-2</c:v>
                </c:pt>
                <c:pt idx="26">
                  <c:v>1.96566E-2</c:v>
                </c:pt>
                <c:pt idx="27">
                  <c:v>1.91389E-2</c:v>
                </c:pt>
                <c:pt idx="28">
                  <c:v>1.89047E-2</c:v>
                </c:pt>
                <c:pt idx="29">
                  <c:v>1.9008000000000001E-2</c:v>
                </c:pt>
                <c:pt idx="30">
                  <c:v>1.9503400000000001E-2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7F-4BBE-8073-A9579A0215BD}"/>
            </c:ext>
          </c:extLst>
        </c:ser>
        <c:ser>
          <c:idx val="4"/>
          <c:order val="2"/>
          <c:tx>
            <c:v>Pop</c:v>
          </c:tx>
          <c:spPr>
            <a:ln w="9525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NL!$N$4:$N$5</c:f>
              <c:numCache>
                <c:formatCode>General</c:formatCode>
                <c:ptCount val="2"/>
                <c:pt idx="0">
                  <c:v>0</c:v>
                </c:pt>
                <c:pt idx="1">
                  <c:v>50</c:v>
                </c:pt>
              </c:numCache>
            </c:numRef>
          </c:xVal>
          <c:yVal>
            <c:numRef>
              <c:f>NL!$O$4:$O$5</c:f>
              <c:numCache>
                <c:formatCode>General</c:formatCode>
                <c:ptCount val="2"/>
                <c:pt idx="0">
                  <c:v>0.13200000000000001</c:v>
                </c:pt>
                <c:pt idx="1">
                  <c:v>0.13200000000000001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7F-4BBE-8073-A9579A0215BD}"/>
            </c:ext>
          </c:extLst>
        </c:ser>
        <c:ser>
          <c:idx val="8"/>
          <c:order val="3"/>
          <c:tx>
            <c:v>Pdesign</c:v>
          </c:tx>
          <c:spPr>
            <a:ln w="9525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NL!$Q$4:$Q$5</c:f>
              <c:numCache>
                <c:formatCode>General</c:formatCode>
                <c:ptCount val="2"/>
                <c:pt idx="0">
                  <c:v>0</c:v>
                </c:pt>
                <c:pt idx="1">
                  <c:v>50</c:v>
                </c:pt>
              </c:numCache>
            </c:numRef>
          </c:xVal>
          <c:yVal>
            <c:numRef>
              <c:f>NL!$R$4:$R$5</c:f>
              <c:numCache>
                <c:formatCode>General</c:formatCode>
                <c:ptCount val="2"/>
                <c:pt idx="0">
                  <c:v>3.2000000000000001E-2</c:v>
                </c:pt>
                <c:pt idx="1">
                  <c:v>3.2000000000000001E-2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87F-4BBE-8073-A9579A021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389248"/>
        <c:axId val="1296389728"/>
      </c:scatterChart>
      <c:valAx>
        <c:axId val="1296389248"/>
        <c:scaling>
          <c:orientation val="minMax"/>
          <c:max val="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Displacement</a:t>
                </a:r>
                <a:r>
                  <a:rPr lang="en-MY" baseline="0"/>
                  <a:t> [mm]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389728"/>
        <c:crosses val="autoZero"/>
        <c:crossBetween val="midCat"/>
      </c:valAx>
      <c:valAx>
        <c:axId val="1296389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Buckling</a:t>
                </a:r>
                <a:r>
                  <a:rPr lang="en-MY" baseline="0"/>
                  <a:t> pressure [MPa]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389248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56714785651796"/>
          <c:y val="0.10590332458442693"/>
          <c:w val="0.79294685039370094"/>
          <c:h val="0.76259988334791473"/>
        </c:manualLayout>
      </c:layout>
      <c:scatterChart>
        <c:scatterStyle val="smoothMarker"/>
        <c:varyColors val="0"/>
        <c:ser>
          <c:idx val="0"/>
          <c:order val="0"/>
          <c:tx>
            <c:v>FEA</c:v>
          </c:tx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Parametric!$E$6:$E$10</c:f>
              <c:numCache>
                <c:formatCode>General</c:formatCode>
                <c:ptCount val="5"/>
                <c:pt idx="0">
                  <c:v>1.5833333333333333E-3</c:v>
                </c:pt>
                <c:pt idx="1">
                  <c:v>1.7300000000000002E-3</c:v>
                </c:pt>
                <c:pt idx="2">
                  <c:v>1.8766666666666667E-3</c:v>
                </c:pt>
                <c:pt idx="3">
                  <c:v>2.0233333333333336E-3</c:v>
                </c:pt>
                <c:pt idx="4">
                  <c:v>2.1700000000000001E-3</c:v>
                </c:pt>
              </c:numCache>
            </c:numRef>
          </c:xVal>
          <c:yVal>
            <c:numRef>
              <c:f>Parametric!$F$6:$F$10</c:f>
              <c:numCache>
                <c:formatCode>General</c:formatCode>
                <c:ptCount val="5"/>
                <c:pt idx="0">
                  <c:v>2.9310699999999999E-2</c:v>
                </c:pt>
                <c:pt idx="1">
                  <c:v>3.38245E-2</c:v>
                </c:pt>
                <c:pt idx="2">
                  <c:v>3.8292600000000003E-2</c:v>
                </c:pt>
                <c:pt idx="3">
                  <c:v>4.2783799999999997E-2</c:v>
                </c:pt>
                <c:pt idx="4">
                  <c:v>4.7885999999999998E-2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F3-4E97-A56E-9B6EBA0A9526}"/>
            </c:ext>
          </c:extLst>
        </c:ser>
        <c:ser>
          <c:idx val="1"/>
          <c:order val="1"/>
          <c:tx>
            <c:v>ABS</c:v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Parametric!$E$6:$E$10</c:f>
              <c:numCache>
                <c:formatCode>General</c:formatCode>
                <c:ptCount val="5"/>
                <c:pt idx="0">
                  <c:v>1.5833333333333333E-3</c:v>
                </c:pt>
                <c:pt idx="1">
                  <c:v>1.7300000000000002E-3</c:v>
                </c:pt>
                <c:pt idx="2">
                  <c:v>1.8766666666666667E-3</c:v>
                </c:pt>
                <c:pt idx="3">
                  <c:v>2.0233333333333336E-3</c:v>
                </c:pt>
                <c:pt idx="4">
                  <c:v>2.1700000000000001E-3</c:v>
                </c:pt>
              </c:numCache>
            </c:numRef>
          </c:xVal>
          <c:yVal>
            <c:numRef>
              <c:f>Parametric!$L$6:$L$10</c:f>
              <c:numCache>
                <c:formatCode>General</c:formatCode>
                <c:ptCount val="5"/>
                <c:pt idx="0">
                  <c:v>0.1244</c:v>
                </c:pt>
                <c:pt idx="1">
                  <c:v>0.14851</c:v>
                </c:pt>
                <c:pt idx="2">
                  <c:v>0.17476</c:v>
                </c:pt>
                <c:pt idx="3">
                  <c:v>0.20313999999999999</c:v>
                </c:pt>
                <c:pt idx="4">
                  <c:v>0.23366000000000001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F3-4E97-A56E-9B6EBA0A9526}"/>
            </c:ext>
          </c:extLst>
        </c:ser>
        <c:ser>
          <c:idx val="2"/>
          <c:order val="2"/>
          <c:tx>
            <c:v>DnV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Parametric!$E$6:$E$10</c:f>
              <c:numCache>
                <c:formatCode>General</c:formatCode>
                <c:ptCount val="5"/>
                <c:pt idx="0">
                  <c:v>1.5833333333333333E-3</c:v>
                </c:pt>
                <c:pt idx="1">
                  <c:v>1.7300000000000002E-3</c:v>
                </c:pt>
                <c:pt idx="2">
                  <c:v>1.8766666666666667E-3</c:v>
                </c:pt>
                <c:pt idx="3">
                  <c:v>2.0233333333333336E-3</c:v>
                </c:pt>
                <c:pt idx="4">
                  <c:v>2.1700000000000001E-3</c:v>
                </c:pt>
              </c:numCache>
            </c:numRef>
          </c:xVal>
          <c:yVal>
            <c:numRef>
              <c:f>Parametric!$O$6:$O$10</c:f>
              <c:numCache>
                <c:formatCode>General</c:formatCode>
                <c:ptCount val="5"/>
                <c:pt idx="0">
                  <c:v>0.106</c:v>
                </c:pt>
                <c:pt idx="1">
                  <c:v>0.13100000000000001</c:v>
                </c:pt>
                <c:pt idx="2">
                  <c:v>0.159</c:v>
                </c:pt>
                <c:pt idx="3">
                  <c:v>0.189</c:v>
                </c:pt>
                <c:pt idx="4">
                  <c:v>0.222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F3-4E97-A56E-9B6EBA0A9526}"/>
            </c:ext>
          </c:extLst>
        </c:ser>
        <c:ser>
          <c:idx val="3"/>
          <c:order val="3"/>
          <c:tx>
            <c:v>PD 5500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Parametric!$E$6:$E$10</c:f>
              <c:numCache>
                <c:formatCode>General</c:formatCode>
                <c:ptCount val="5"/>
                <c:pt idx="0">
                  <c:v>1.5833333333333333E-3</c:v>
                </c:pt>
                <c:pt idx="1">
                  <c:v>1.7300000000000002E-3</c:v>
                </c:pt>
                <c:pt idx="2">
                  <c:v>1.8766666666666667E-3</c:v>
                </c:pt>
                <c:pt idx="3">
                  <c:v>2.0233333333333336E-3</c:v>
                </c:pt>
                <c:pt idx="4">
                  <c:v>2.1700000000000001E-3</c:v>
                </c:pt>
              </c:numCache>
            </c:numRef>
          </c:xVal>
          <c:yVal>
            <c:numRef>
              <c:f>Parametric!$I$6:$I$10</c:f>
              <c:numCache>
                <c:formatCode>General</c:formatCode>
                <c:ptCount val="5"/>
                <c:pt idx="0">
                  <c:v>6.7100000000000007E-2</c:v>
                </c:pt>
                <c:pt idx="1">
                  <c:v>7.9234763999999999E-2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F3-4E97-A56E-9B6EBA0A9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733824"/>
        <c:axId val="770735744"/>
      </c:scatterChart>
      <c:valAx>
        <c:axId val="770733824"/>
        <c:scaling>
          <c:orientation val="minMax"/>
          <c:max val="2.2000000000000006E-3"/>
          <c:min val="1.5000000000000005E-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t/r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735744"/>
        <c:crosses val="autoZero"/>
        <c:crossBetween val="midCat"/>
      </c:valAx>
      <c:valAx>
        <c:axId val="770735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Pressure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733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9812572312417"/>
          <c:y val="2.6816215087508335E-2"/>
          <c:w val="0.80687201469741021"/>
          <c:h val="0.7705106452258662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'Case 2'!$L$2</c:f>
              <c:strCache>
                <c:ptCount val="1"/>
                <c:pt idx="0">
                  <c:v>4.75 mm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'Case 2'!$L$4:$L$34</c:f>
              <c:numCache>
                <c:formatCode>General</c:formatCode>
                <c:ptCount val="31"/>
                <c:pt idx="0">
                  <c:v>0</c:v>
                </c:pt>
                <c:pt idx="1">
                  <c:v>1.30017</c:v>
                </c:pt>
                <c:pt idx="2">
                  <c:v>2.5987800000000001</c:v>
                </c:pt>
                <c:pt idx="3">
                  <c:v>4.5441500000000001</c:v>
                </c:pt>
                <c:pt idx="4">
                  <c:v>7.48123</c:v>
                </c:pt>
                <c:pt idx="5">
                  <c:v>11.9236</c:v>
                </c:pt>
                <c:pt idx="6">
                  <c:v>16.3858</c:v>
                </c:pt>
                <c:pt idx="7">
                  <c:v>20.8596</c:v>
                </c:pt>
                <c:pt idx="8">
                  <c:v>25.328900000000001</c:v>
                </c:pt>
                <c:pt idx="9">
                  <c:v>29.7941</c:v>
                </c:pt>
                <c:pt idx="10">
                  <c:v>34.261600000000001</c:v>
                </c:pt>
                <c:pt idx="11">
                  <c:v>38.7346</c:v>
                </c:pt>
                <c:pt idx="12">
                  <c:v>43.220500000000001</c:v>
                </c:pt>
                <c:pt idx="13">
                  <c:v>47.718699999999998</c:v>
                </c:pt>
                <c:pt idx="14">
                  <c:v>52.239100000000001</c:v>
                </c:pt>
                <c:pt idx="15">
                  <c:v>56.758800000000001</c:v>
                </c:pt>
                <c:pt idx="16">
                  <c:v>61.253799999999998</c:v>
                </c:pt>
                <c:pt idx="17">
                  <c:v>65.745199999999997</c:v>
                </c:pt>
                <c:pt idx="18">
                  <c:v>70.245599999999996</c:v>
                </c:pt>
                <c:pt idx="19">
                  <c:v>74.744100000000003</c:v>
                </c:pt>
                <c:pt idx="20">
                  <c:v>79.257400000000004</c:v>
                </c:pt>
                <c:pt idx="21">
                  <c:v>83.747600000000006</c:v>
                </c:pt>
                <c:pt idx="22">
                  <c:v>88.235399999999998</c:v>
                </c:pt>
                <c:pt idx="23">
                  <c:v>92.744900000000001</c:v>
                </c:pt>
                <c:pt idx="24">
                  <c:v>97.293000000000006</c:v>
                </c:pt>
                <c:pt idx="25">
                  <c:v>101.864</c:v>
                </c:pt>
                <c:pt idx="26">
                  <c:v>108.773</c:v>
                </c:pt>
                <c:pt idx="27">
                  <c:v>110.49</c:v>
                </c:pt>
                <c:pt idx="28">
                  <c:v>112.208</c:v>
                </c:pt>
                <c:pt idx="29">
                  <c:v>114.79600000000001</c:v>
                </c:pt>
                <c:pt idx="30">
                  <c:v>118.68600000000001</c:v>
                </c:pt>
              </c:numCache>
            </c:numRef>
          </c:xVal>
          <c:yVal>
            <c:numRef>
              <c:f>'Case 2'!$M$4:$M$34</c:f>
              <c:numCache>
                <c:formatCode>General</c:formatCode>
                <c:ptCount val="31"/>
                <c:pt idx="0">
                  <c:v>0</c:v>
                </c:pt>
                <c:pt idx="1">
                  <c:v>9.6820799999999992E-3</c:v>
                </c:pt>
                <c:pt idx="2">
                  <c:v>1.8732200000000001E-2</c:v>
                </c:pt>
                <c:pt idx="3">
                  <c:v>3.1191300000000002E-2</c:v>
                </c:pt>
                <c:pt idx="4">
                  <c:v>3.9392299999999998E-2</c:v>
                </c:pt>
                <c:pt idx="5">
                  <c:v>4.1745299999999999E-2</c:v>
                </c:pt>
                <c:pt idx="6">
                  <c:v>4.1398299999999999E-2</c:v>
                </c:pt>
                <c:pt idx="7">
                  <c:v>3.9675200000000001E-2</c:v>
                </c:pt>
                <c:pt idx="8">
                  <c:v>3.7660800000000001E-2</c:v>
                </c:pt>
                <c:pt idx="9">
                  <c:v>3.5527400000000001E-2</c:v>
                </c:pt>
                <c:pt idx="10">
                  <c:v>3.3401300000000002E-2</c:v>
                </c:pt>
                <c:pt idx="11">
                  <c:v>3.1336799999999998E-2</c:v>
                </c:pt>
                <c:pt idx="12">
                  <c:v>2.9337599999999998E-2</c:v>
                </c:pt>
                <c:pt idx="13">
                  <c:v>2.7394600000000002E-2</c:v>
                </c:pt>
                <c:pt idx="14">
                  <c:v>2.5495299999999999E-2</c:v>
                </c:pt>
                <c:pt idx="15">
                  <c:v>2.3701799999999999E-2</c:v>
                </c:pt>
                <c:pt idx="16">
                  <c:v>2.2172799999999999E-2</c:v>
                </c:pt>
                <c:pt idx="17">
                  <c:v>2.10691E-2</c:v>
                </c:pt>
                <c:pt idx="18">
                  <c:v>2.0531000000000001E-2</c:v>
                </c:pt>
                <c:pt idx="19">
                  <c:v>2.0576899999999999E-2</c:v>
                </c:pt>
                <c:pt idx="20">
                  <c:v>2.1314900000000001E-2</c:v>
                </c:pt>
                <c:pt idx="21">
                  <c:v>2.2649599999999999E-2</c:v>
                </c:pt>
                <c:pt idx="22">
                  <c:v>2.46363E-2</c:v>
                </c:pt>
                <c:pt idx="23">
                  <c:v>2.69018E-2</c:v>
                </c:pt>
                <c:pt idx="24">
                  <c:v>2.88939E-2</c:v>
                </c:pt>
                <c:pt idx="25">
                  <c:v>3.0699500000000001E-2</c:v>
                </c:pt>
                <c:pt idx="26">
                  <c:v>3.32048E-2</c:v>
                </c:pt>
                <c:pt idx="27">
                  <c:v>3.3674700000000002E-2</c:v>
                </c:pt>
                <c:pt idx="28">
                  <c:v>3.4108899999999998E-2</c:v>
                </c:pt>
                <c:pt idx="29">
                  <c:v>3.4685800000000003E-2</c:v>
                </c:pt>
                <c:pt idx="30">
                  <c:v>3.5562400000000001E-2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7C2-4668-B652-4BCDCA7D74BF}"/>
            </c:ext>
          </c:extLst>
        </c:ser>
        <c:ser>
          <c:idx val="1"/>
          <c:order val="1"/>
          <c:tx>
            <c:strRef>
              <c:f>'Case 2'!$O$2</c:f>
              <c:strCache>
                <c:ptCount val="1"/>
                <c:pt idx="0">
                  <c:v>8 mm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'Case 2'!$O$4:$O$34</c:f>
              <c:numCache>
                <c:formatCode>General</c:formatCode>
                <c:ptCount val="31"/>
                <c:pt idx="0">
                  <c:v>0</c:v>
                </c:pt>
                <c:pt idx="1">
                  <c:v>1.30017</c:v>
                </c:pt>
                <c:pt idx="2">
                  <c:v>2.5987800000000001</c:v>
                </c:pt>
                <c:pt idx="3">
                  <c:v>4.5441500000000001</c:v>
                </c:pt>
                <c:pt idx="4">
                  <c:v>7.48123</c:v>
                </c:pt>
                <c:pt idx="5">
                  <c:v>11.9236</c:v>
                </c:pt>
                <c:pt idx="6">
                  <c:v>16.3858</c:v>
                </c:pt>
                <c:pt idx="7">
                  <c:v>20.8596</c:v>
                </c:pt>
                <c:pt idx="8">
                  <c:v>25.328900000000001</c:v>
                </c:pt>
                <c:pt idx="9">
                  <c:v>29.7941</c:v>
                </c:pt>
                <c:pt idx="10">
                  <c:v>34.261600000000001</c:v>
                </c:pt>
                <c:pt idx="11">
                  <c:v>38.7346</c:v>
                </c:pt>
                <c:pt idx="12">
                  <c:v>43.220500000000001</c:v>
                </c:pt>
                <c:pt idx="13">
                  <c:v>47.718699999999998</c:v>
                </c:pt>
                <c:pt idx="14">
                  <c:v>52.239100000000001</c:v>
                </c:pt>
                <c:pt idx="15">
                  <c:v>56.758800000000001</c:v>
                </c:pt>
                <c:pt idx="16">
                  <c:v>61.253799999999998</c:v>
                </c:pt>
                <c:pt idx="17">
                  <c:v>65.745199999999997</c:v>
                </c:pt>
                <c:pt idx="18">
                  <c:v>70.245599999999996</c:v>
                </c:pt>
                <c:pt idx="19">
                  <c:v>74.744100000000003</c:v>
                </c:pt>
                <c:pt idx="20">
                  <c:v>79.257400000000004</c:v>
                </c:pt>
                <c:pt idx="21">
                  <c:v>83.747600000000006</c:v>
                </c:pt>
                <c:pt idx="22">
                  <c:v>88.235399999999998</c:v>
                </c:pt>
                <c:pt idx="23">
                  <c:v>92.744900000000001</c:v>
                </c:pt>
                <c:pt idx="24">
                  <c:v>97.293000000000006</c:v>
                </c:pt>
                <c:pt idx="25">
                  <c:v>101.864</c:v>
                </c:pt>
                <c:pt idx="26">
                  <c:v>108.773</c:v>
                </c:pt>
                <c:pt idx="27">
                  <c:v>110.49</c:v>
                </c:pt>
                <c:pt idx="28">
                  <c:v>112.208</c:v>
                </c:pt>
                <c:pt idx="29">
                  <c:v>114.79600000000001</c:v>
                </c:pt>
                <c:pt idx="30">
                  <c:v>118.68600000000001</c:v>
                </c:pt>
              </c:numCache>
            </c:numRef>
          </c:xVal>
          <c:yVal>
            <c:numRef>
              <c:f>'Case 2'!$P$4:$P$34</c:f>
              <c:numCache>
                <c:formatCode>General</c:formatCode>
                <c:ptCount val="31"/>
                <c:pt idx="0">
                  <c:v>0</c:v>
                </c:pt>
                <c:pt idx="1">
                  <c:v>9.6820799999999992E-3</c:v>
                </c:pt>
                <c:pt idx="2">
                  <c:v>1.8732200000000001E-2</c:v>
                </c:pt>
                <c:pt idx="3">
                  <c:v>3.1191300000000002E-2</c:v>
                </c:pt>
                <c:pt idx="4">
                  <c:v>3.9392299999999998E-2</c:v>
                </c:pt>
                <c:pt idx="5">
                  <c:v>4.1745299999999999E-2</c:v>
                </c:pt>
                <c:pt idx="6">
                  <c:v>4.1398299999999999E-2</c:v>
                </c:pt>
                <c:pt idx="7">
                  <c:v>3.9675200000000001E-2</c:v>
                </c:pt>
                <c:pt idx="8">
                  <c:v>3.7660800000000001E-2</c:v>
                </c:pt>
                <c:pt idx="9">
                  <c:v>3.5527400000000001E-2</c:v>
                </c:pt>
                <c:pt idx="10">
                  <c:v>3.3401300000000002E-2</c:v>
                </c:pt>
                <c:pt idx="11">
                  <c:v>3.1336799999999998E-2</c:v>
                </c:pt>
                <c:pt idx="12">
                  <c:v>2.9337599999999998E-2</c:v>
                </c:pt>
                <c:pt idx="13">
                  <c:v>2.7394600000000002E-2</c:v>
                </c:pt>
                <c:pt idx="14">
                  <c:v>2.5495299999999999E-2</c:v>
                </c:pt>
                <c:pt idx="15">
                  <c:v>2.3701799999999999E-2</c:v>
                </c:pt>
                <c:pt idx="16">
                  <c:v>2.2172799999999999E-2</c:v>
                </c:pt>
                <c:pt idx="17">
                  <c:v>2.10691E-2</c:v>
                </c:pt>
                <c:pt idx="18">
                  <c:v>2.0531000000000001E-2</c:v>
                </c:pt>
                <c:pt idx="19">
                  <c:v>2.0576899999999999E-2</c:v>
                </c:pt>
                <c:pt idx="20">
                  <c:v>2.1314900000000001E-2</c:v>
                </c:pt>
                <c:pt idx="21">
                  <c:v>2.2649599999999999E-2</c:v>
                </c:pt>
                <c:pt idx="22">
                  <c:v>2.46363E-2</c:v>
                </c:pt>
                <c:pt idx="23">
                  <c:v>2.69018E-2</c:v>
                </c:pt>
                <c:pt idx="24">
                  <c:v>2.88939E-2</c:v>
                </c:pt>
                <c:pt idx="25">
                  <c:v>3.0699500000000001E-2</c:v>
                </c:pt>
                <c:pt idx="26">
                  <c:v>3.32048E-2</c:v>
                </c:pt>
                <c:pt idx="27">
                  <c:v>3.3674700000000002E-2</c:v>
                </c:pt>
                <c:pt idx="28">
                  <c:v>3.4108899999999998E-2</c:v>
                </c:pt>
                <c:pt idx="29">
                  <c:v>3.4685800000000003E-2</c:v>
                </c:pt>
                <c:pt idx="30">
                  <c:v>3.5562400000000001E-2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7C2-4668-B652-4BCDCA7D74BF}"/>
            </c:ext>
          </c:extLst>
        </c:ser>
        <c:ser>
          <c:idx val="2"/>
          <c:order val="2"/>
          <c:tx>
            <c:strRef>
              <c:f>'Case 2'!$R$2</c:f>
              <c:strCache>
                <c:ptCount val="1"/>
                <c:pt idx="0">
                  <c:v>10 mm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'Case 2'!$R$4:$R$34</c:f>
              <c:numCache>
                <c:formatCode>General</c:formatCode>
                <c:ptCount val="31"/>
                <c:pt idx="0">
                  <c:v>0</c:v>
                </c:pt>
                <c:pt idx="1">
                  <c:v>1.2925800000000001</c:v>
                </c:pt>
                <c:pt idx="2">
                  <c:v>2.5838000000000001</c:v>
                </c:pt>
                <c:pt idx="3">
                  <c:v>4.5183999999999997</c:v>
                </c:pt>
                <c:pt idx="4">
                  <c:v>7.4339899999999997</c:v>
                </c:pt>
                <c:pt idx="5">
                  <c:v>11.8409</c:v>
                </c:pt>
                <c:pt idx="6">
                  <c:v>16.2727</c:v>
                </c:pt>
                <c:pt idx="7">
                  <c:v>20.720500000000001</c:v>
                </c:pt>
                <c:pt idx="8">
                  <c:v>25.167400000000001</c:v>
                </c:pt>
                <c:pt idx="9">
                  <c:v>29.614100000000001</c:v>
                </c:pt>
                <c:pt idx="10">
                  <c:v>34.061199999999999</c:v>
                </c:pt>
                <c:pt idx="11">
                  <c:v>38.51</c:v>
                </c:pt>
                <c:pt idx="12">
                  <c:v>42.962699999999998</c:v>
                </c:pt>
                <c:pt idx="13">
                  <c:v>47.419899999999998</c:v>
                </c:pt>
                <c:pt idx="14">
                  <c:v>51.880699999999997</c:v>
                </c:pt>
                <c:pt idx="15">
                  <c:v>56.3459</c:v>
                </c:pt>
                <c:pt idx="16">
                  <c:v>60.812399999999997</c:v>
                </c:pt>
                <c:pt idx="17">
                  <c:v>65.283699999999996</c:v>
                </c:pt>
                <c:pt idx="18">
                  <c:v>69.762100000000004</c:v>
                </c:pt>
                <c:pt idx="19">
                  <c:v>70.042100000000005</c:v>
                </c:pt>
                <c:pt idx="20">
                  <c:v>70.317599999999999</c:v>
                </c:pt>
                <c:pt idx="21">
                  <c:v>70.737899999999996</c:v>
                </c:pt>
                <c:pt idx="22">
                  <c:v>71.369100000000003</c:v>
                </c:pt>
                <c:pt idx="23">
                  <c:v>72.316199999999995</c:v>
                </c:pt>
                <c:pt idx="24">
                  <c:v>73.7376</c:v>
                </c:pt>
                <c:pt idx="25">
                  <c:v>75.871200000000002</c:v>
                </c:pt>
                <c:pt idx="26">
                  <c:v>79.066299999999998</c:v>
                </c:pt>
                <c:pt idx="27">
                  <c:v>83.865899999999996</c:v>
                </c:pt>
                <c:pt idx="28">
                  <c:v>88.665599999999998</c:v>
                </c:pt>
                <c:pt idx="29">
                  <c:v>93.477500000000006</c:v>
                </c:pt>
                <c:pt idx="30">
                  <c:v>98.261799999999994</c:v>
                </c:pt>
              </c:numCache>
            </c:numRef>
          </c:xVal>
          <c:yVal>
            <c:numRef>
              <c:f>'Case 2'!$S$4:$S$34</c:f>
              <c:numCache>
                <c:formatCode>General</c:formatCode>
                <c:ptCount val="31"/>
                <c:pt idx="0">
                  <c:v>0</c:v>
                </c:pt>
                <c:pt idx="1">
                  <c:v>9.68164E-3</c:v>
                </c:pt>
                <c:pt idx="2">
                  <c:v>1.87312E-2</c:v>
                </c:pt>
                <c:pt idx="3">
                  <c:v>3.1191300000000002E-2</c:v>
                </c:pt>
                <c:pt idx="4">
                  <c:v>3.9680300000000002E-2</c:v>
                </c:pt>
                <c:pt idx="5">
                  <c:v>4.2203499999999998E-2</c:v>
                </c:pt>
                <c:pt idx="6">
                  <c:v>4.1742799999999997E-2</c:v>
                </c:pt>
                <c:pt idx="7">
                  <c:v>3.9730399999999999E-2</c:v>
                </c:pt>
                <c:pt idx="8">
                  <c:v>3.7543699999999999E-2</c:v>
                </c:pt>
                <c:pt idx="9">
                  <c:v>3.5360500000000003E-2</c:v>
                </c:pt>
                <c:pt idx="10">
                  <c:v>3.32492E-2</c:v>
                </c:pt>
                <c:pt idx="11">
                  <c:v>3.1220100000000001E-2</c:v>
                </c:pt>
                <c:pt idx="12">
                  <c:v>2.9260700000000001E-2</c:v>
                </c:pt>
                <c:pt idx="13">
                  <c:v>2.7358899999999998E-2</c:v>
                </c:pt>
                <c:pt idx="14">
                  <c:v>2.5503899999999999E-2</c:v>
                </c:pt>
                <c:pt idx="15">
                  <c:v>2.3733799999999999E-2</c:v>
                </c:pt>
                <c:pt idx="16">
                  <c:v>2.2202E-2</c:v>
                </c:pt>
                <c:pt idx="17">
                  <c:v>2.11112E-2</c:v>
                </c:pt>
                <c:pt idx="18">
                  <c:v>2.06497E-2</c:v>
                </c:pt>
                <c:pt idx="19">
                  <c:v>2.0645799999999999E-2</c:v>
                </c:pt>
                <c:pt idx="20">
                  <c:v>2.0645400000000001E-2</c:v>
                </c:pt>
                <c:pt idx="21">
                  <c:v>2.0650100000000001E-2</c:v>
                </c:pt>
                <c:pt idx="22">
                  <c:v>2.0672300000000001E-2</c:v>
                </c:pt>
                <c:pt idx="23">
                  <c:v>2.0737200000000001E-2</c:v>
                </c:pt>
                <c:pt idx="24">
                  <c:v>2.09103E-2</c:v>
                </c:pt>
                <c:pt idx="25">
                  <c:v>2.13473E-2</c:v>
                </c:pt>
                <c:pt idx="26">
                  <c:v>2.2349899999999999E-2</c:v>
                </c:pt>
                <c:pt idx="27">
                  <c:v>2.4869599999999999E-2</c:v>
                </c:pt>
                <c:pt idx="28">
                  <c:v>2.8645E-2</c:v>
                </c:pt>
                <c:pt idx="29">
                  <c:v>3.31177E-2</c:v>
                </c:pt>
                <c:pt idx="30">
                  <c:v>3.6832799999999999E-2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7C2-4668-B652-4BCDCA7D7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412960"/>
        <c:axId val="2131413440"/>
      </c:scatterChart>
      <c:scatterChart>
        <c:scatterStyle val="lineMarker"/>
        <c:varyColors val="0"/>
        <c:ser>
          <c:idx val="3"/>
          <c:order val="3"/>
          <c:tx>
            <c:strRef>
              <c:f>'Case 2'!$U$2</c:f>
              <c:strCache>
                <c:ptCount val="1"/>
                <c:pt idx="0">
                  <c:v>4.75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12700">
                <a:solidFill>
                  <a:schemeClr val="accent4"/>
                </a:solidFill>
                <a:prstDash val="lgDash"/>
              </a:ln>
              <a:effectLst/>
            </c:spPr>
          </c:marker>
          <c:xVal>
            <c:numRef>
              <c:f>'Case 2'!$U$4:$U$34</c:f>
              <c:numCache>
                <c:formatCode>General</c:formatCode>
                <c:ptCount val="31"/>
                <c:pt idx="0">
                  <c:v>0</c:v>
                </c:pt>
                <c:pt idx="1">
                  <c:v>1.2853399999999999</c:v>
                </c:pt>
                <c:pt idx="2">
                  <c:v>2.5697000000000001</c:v>
                </c:pt>
                <c:pt idx="3">
                  <c:v>4.4947100000000004</c:v>
                </c:pt>
                <c:pt idx="4">
                  <c:v>7.39445</c:v>
                </c:pt>
                <c:pt idx="5">
                  <c:v>11.754899999999999</c:v>
                </c:pt>
                <c:pt idx="6">
                  <c:v>16.1068</c:v>
                </c:pt>
                <c:pt idx="7">
                  <c:v>20.429300000000001</c:v>
                </c:pt>
                <c:pt idx="8">
                  <c:v>24.712199999999999</c:v>
                </c:pt>
                <c:pt idx="9">
                  <c:v>28.9635</c:v>
                </c:pt>
                <c:pt idx="10">
                  <c:v>33.213700000000003</c:v>
                </c:pt>
                <c:pt idx="11">
                  <c:v>37.453600000000002</c:v>
                </c:pt>
                <c:pt idx="12">
                  <c:v>41.697499999999998</c:v>
                </c:pt>
                <c:pt idx="13">
                  <c:v>45.923900000000003</c:v>
                </c:pt>
                <c:pt idx="14">
                  <c:v>50.152700000000003</c:v>
                </c:pt>
                <c:pt idx="15">
                  <c:v>54.403599999999997</c:v>
                </c:pt>
                <c:pt idx="16">
                  <c:v>58.665999999999997</c:v>
                </c:pt>
                <c:pt idx="17">
                  <c:v>62.940899999999999</c:v>
                </c:pt>
                <c:pt idx="18">
                  <c:v>67.224400000000003</c:v>
                </c:pt>
                <c:pt idx="19">
                  <c:v>71.566400000000002</c:v>
                </c:pt>
                <c:pt idx="20">
                  <c:v>75.951800000000006</c:v>
                </c:pt>
                <c:pt idx="21">
                  <c:v>77.056200000000004</c:v>
                </c:pt>
                <c:pt idx="22">
                  <c:v>78.162499999999994</c:v>
                </c:pt>
                <c:pt idx="23">
                  <c:v>79.840199999999996</c:v>
                </c:pt>
                <c:pt idx="24">
                  <c:v>80.260000000000005</c:v>
                </c:pt>
                <c:pt idx="25">
                  <c:v>80.680000000000007</c:v>
                </c:pt>
                <c:pt idx="26">
                  <c:v>81.310100000000006</c:v>
                </c:pt>
                <c:pt idx="27">
                  <c:v>82.255799999999994</c:v>
                </c:pt>
                <c:pt idx="28">
                  <c:v>83.674999999999997</c:v>
                </c:pt>
                <c:pt idx="29">
                  <c:v>85.807599999999994</c:v>
                </c:pt>
                <c:pt idx="30">
                  <c:v>89.013300000000001</c:v>
                </c:pt>
              </c:numCache>
            </c:numRef>
          </c:xVal>
          <c:yVal>
            <c:numRef>
              <c:f>'Case 2'!$V$4:$V$34</c:f>
              <c:numCache>
                <c:formatCode>General</c:formatCode>
                <c:ptCount val="31"/>
                <c:pt idx="0">
                  <c:v>0</c:v>
                </c:pt>
                <c:pt idx="1">
                  <c:v>9.6867399999999992E-3</c:v>
                </c:pt>
                <c:pt idx="2">
                  <c:v>1.8750099999999999E-2</c:v>
                </c:pt>
                <c:pt idx="3">
                  <c:v>3.1242900000000001E-2</c:v>
                </c:pt>
                <c:pt idx="4">
                  <c:v>3.9602600000000002E-2</c:v>
                </c:pt>
                <c:pt idx="5">
                  <c:v>4.1886399999999997E-2</c:v>
                </c:pt>
                <c:pt idx="6">
                  <c:v>4.1452799999999998E-2</c:v>
                </c:pt>
                <c:pt idx="7">
                  <c:v>3.9793700000000001E-2</c:v>
                </c:pt>
                <c:pt idx="8">
                  <c:v>3.7910100000000002E-2</c:v>
                </c:pt>
                <c:pt idx="9">
                  <c:v>3.5908200000000001E-2</c:v>
                </c:pt>
                <c:pt idx="10">
                  <c:v>3.3887899999999999E-2</c:v>
                </c:pt>
                <c:pt idx="11">
                  <c:v>3.1915699999999998E-2</c:v>
                </c:pt>
                <c:pt idx="12">
                  <c:v>3.00027E-2</c:v>
                </c:pt>
                <c:pt idx="13">
                  <c:v>2.8156E-2</c:v>
                </c:pt>
                <c:pt idx="14">
                  <c:v>2.63568E-2</c:v>
                </c:pt>
                <c:pt idx="15">
                  <c:v>2.4608700000000001E-2</c:v>
                </c:pt>
                <c:pt idx="16">
                  <c:v>2.30064E-2</c:v>
                </c:pt>
                <c:pt idx="17">
                  <c:v>2.1688499999999999E-2</c:v>
                </c:pt>
                <c:pt idx="18">
                  <c:v>2.0784400000000001E-2</c:v>
                </c:pt>
                <c:pt idx="19">
                  <c:v>2.0348600000000001E-2</c:v>
                </c:pt>
                <c:pt idx="20">
                  <c:v>2.0341700000000001E-2</c:v>
                </c:pt>
                <c:pt idx="21">
                  <c:v>2.0417399999999999E-2</c:v>
                </c:pt>
                <c:pt idx="22">
                  <c:v>2.05241E-2</c:v>
                </c:pt>
                <c:pt idx="23">
                  <c:v>2.0501999999999999E-2</c:v>
                </c:pt>
                <c:pt idx="24">
                  <c:v>2.04967E-2</c:v>
                </c:pt>
                <c:pt idx="25">
                  <c:v>2.0492699999999999E-2</c:v>
                </c:pt>
                <c:pt idx="26">
                  <c:v>2.0490600000000001E-2</c:v>
                </c:pt>
                <c:pt idx="27">
                  <c:v>2.0498700000000002E-2</c:v>
                </c:pt>
                <c:pt idx="28">
                  <c:v>2.0538000000000001E-2</c:v>
                </c:pt>
                <c:pt idx="29">
                  <c:v>2.0671800000000001E-2</c:v>
                </c:pt>
                <c:pt idx="30">
                  <c:v>2.1064200000000002E-2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C2-4668-B652-4BCDCA7D7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412960"/>
        <c:axId val="2131413440"/>
      </c:scatterChart>
      <c:valAx>
        <c:axId val="2131412960"/>
        <c:scaling>
          <c:orientation val="minMax"/>
          <c:max val="1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413440"/>
        <c:crosses val="autoZero"/>
        <c:crossBetween val="midCat"/>
      </c:valAx>
      <c:valAx>
        <c:axId val="21314134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Buckling pressure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412960"/>
        <c:crosses val="autoZero"/>
        <c:crossBetween val="midCat"/>
        <c:majorUnit val="1.0000000000000002E-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Number</a:t>
            </a:r>
            <a:r>
              <a:rPr lang="en-MY" baseline="0"/>
              <a:t> of ring-stiffer = 1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>
        <c:manualLayout>
          <c:layoutTarget val="inner"/>
          <c:xMode val="edge"/>
          <c:yMode val="edge"/>
          <c:x val="0.16978937007874015"/>
          <c:y val="2.5428331875182269E-2"/>
          <c:w val="0.78698840769903766"/>
          <c:h val="0.7764887722368035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'Case 2'!$D$2</c:f>
              <c:strCache>
                <c:ptCount val="1"/>
                <c:pt idx="0">
                  <c:v>Outside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'Case 2'!$C$4:$C$6</c:f>
              <c:numCache>
                <c:formatCode>General</c:formatCode>
                <c:ptCount val="3"/>
                <c:pt idx="0">
                  <c:v>4.75</c:v>
                </c:pt>
                <c:pt idx="1">
                  <c:v>8</c:v>
                </c:pt>
                <c:pt idx="2">
                  <c:v>10</c:v>
                </c:pt>
              </c:numCache>
            </c:numRef>
          </c:xVal>
          <c:yVal>
            <c:numRef>
              <c:f>'Case 2'!$E$4:$E$6</c:f>
              <c:numCache>
                <c:formatCode>0.0000</c:formatCode>
                <c:ptCount val="3"/>
                <c:pt idx="0">
                  <c:v>4.1886399999999997E-2</c:v>
                </c:pt>
                <c:pt idx="1">
                  <c:v>4.21102E-2</c:v>
                </c:pt>
                <c:pt idx="2">
                  <c:v>4.2235599999999998E-2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EC-4DD0-8E0B-EFCB5B4264E5}"/>
            </c:ext>
          </c:extLst>
        </c:ser>
        <c:ser>
          <c:idx val="1"/>
          <c:order val="1"/>
          <c:tx>
            <c:strRef>
              <c:f>'Case 2'!$I$2</c:f>
              <c:strCache>
                <c:ptCount val="1"/>
                <c:pt idx="0">
                  <c:v>Inside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'Case 2'!$H$4:$H$6</c:f>
              <c:numCache>
                <c:formatCode>General</c:formatCode>
                <c:ptCount val="3"/>
                <c:pt idx="0">
                  <c:v>4.75</c:v>
                </c:pt>
                <c:pt idx="1">
                  <c:v>8</c:v>
                </c:pt>
                <c:pt idx="2">
                  <c:v>10</c:v>
                </c:pt>
              </c:numCache>
            </c:numRef>
          </c:xVal>
          <c:yVal>
            <c:numRef>
              <c:f>'Case 2'!$J$4:$J$6</c:f>
              <c:numCache>
                <c:formatCode>0.0000</c:formatCode>
                <c:ptCount val="3"/>
                <c:pt idx="0">
                  <c:v>4.1745299999999999E-2</c:v>
                </c:pt>
                <c:pt idx="1">
                  <c:v>4.2045399999999997E-2</c:v>
                </c:pt>
                <c:pt idx="2">
                  <c:v>4.2203499999999998E-2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EC-4DD0-8E0B-EFCB5B426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67536"/>
        <c:axId val="306766576"/>
      </c:scatterChart>
      <c:valAx>
        <c:axId val="306767536"/>
        <c:scaling>
          <c:orientation val="minMax"/>
          <c:min val="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Ring-stiffener</a:t>
                </a:r>
                <a:r>
                  <a:rPr lang="en-MY" baseline="0"/>
                  <a:t> thickness, </a:t>
                </a:r>
                <a:r>
                  <a:rPr lang="en-MY" i="1" baseline="0"/>
                  <a:t>b </a:t>
                </a:r>
                <a:r>
                  <a:rPr lang="en-MY" i="0" baseline="0"/>
                  <a:t>(mm)</a:t>
                </a:r>
                <a:endParaRPr lang="en-MY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766576"/>
        <c:crosses val="autoZero"/>
        <c:crossBetween val="midCat"/>
      </c:valAx>
      <c:valAx>
        <c:axId val="3067665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Buckling pressure</a:t>
                </a:r>
                <a:r>
                  <a:rPr lang="en-MY" baseline="0"/>
                  <a:t> (MPa)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767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9728587051618551"/>
          <c:y val="0.56481481481481477"/>
          <c:w val="0.22765026246719164"/>
          <c:h val="0.170718139399241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Number of ring-stiffner =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10870516185477"/>
          <c:y val="2.5428331875182269E-2"/>
          <c:w val="0.7986690726159229"/>
          <c:h val="0.818109871682706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'Case 2'!$D$9</c:f>
              <c:strCache>
                <c:ptCount val="1"/>
                <c:pt idx="0">
                  <c:v>Outside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'Case 2'!$C$11:$C$13</c:f>
              <c:numCache>
                <c:formatCode>General</c:formatCode>
                <c:ptCount val="3"/>
                <c:pt idx="0">
                  <c:v>4.75</c:v>
                </c:pt>
                <c:pt idx="1">
                  <c:v>8</c:v>
                </c:pt>
                <c:pt idx="2">
                  <c:v>10</c:v>
                </c:pt>
              </c:numCache>
            </c:numRef>
          </c:xVal>
          <c:yVal>
            <c:numRef>
              <c:f>'Case 2'!$E$11:$E$13</c:f>
              <c:numCache>
                <c:formatCode>0.0000</c:formatCode>
                <c:ptCount val="3"/>
                <c:pt idx="0">
                  <c:v>0.20197100000000001</c:v>
                </c:pt>
                <c:pt idx="1">
                  <c:v>0.207093</c:v>
                </c:pt>
                <c:pt idx="2">
                  <c:v>0.20817099999999999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60-48C2-BB0A-C3B1A7336F0F}"/>
            </c:ext>
          </c:extLst>
        </c:ser>
        <c:ser>
          <c:idx val="1"/>
          <c:order val="1"/>
          <c:tx>
            <c:strRef>
              <c:f>'Case 2'!$I$9</c:f>
              <c:strCache>
                <c:ptCount val="1"/>
                <c:pt idx="0">
                  <c:v>Inside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'Case 2'!$H$11:$H$13</c:f>
              <c:numCache>
                <c:formatCode>General</c:formatCode>
                <c:ptCount val="3"/>
                <c:pt idx="0">
                  <c:v>4.75</c:v>
                </c:pt>
                <c:pt idx="1">
                  <c:v>8</c:v>
                </c:pt>
                <c:pt idx="2">
                  <c:v>10</c:v>
                </c:pt>
              </c:numCache>
            </c:numRef>
          </c:xVal>
          <c:yVal>
            <c:numRef>
              <c:f>'Case 2'!$J$11:$J$13</c:f>
              <c:numCache>
                <c:formatCode>0.0000</c:formatCode>
                <c:ptCount val="3"/>
                <c:pt idx="0">
                  <c:v>3.8440599999999998E-2</c:v>
                </c:pt>
                <c:pt idx="1">
                  <c:v>3.8721800000000001E-2</c:v>
                </c:pt>
                <c:pt idx="2">
                  <c:v>3.8865799999999999E-2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60-48C2-BB0A-C3B1A7336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324720"/>
        <c:axId val="1922324240"/>
      </c:scatterChart>
      <c:valAx>
        <c:axId val="1922324720"/>
        <c:scaling>
          <c:orientation val="minMax"/>
          <c:min val="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Ring-stiffer thickness, </a:t>
                </a:r>
                <a:r>
                  <a:rPr lang="en-MY" i="1"/>
                  <a:t>b</a:t>
                </a:r>
                <a:r>
                  <a:rPr lang="en-MY"/>
                  <a:t> (mm)</a:t>
                </a:r>
              </a:p>
            </c:rich>
          </c:tx>
          <c:layout>
            <c:manualLayout>
              <c:xMode val="edge"/>
              <c:yMode val="edge"/>
              <c:x val="0.3837764654418197"/>
              <c:y val="0.909270924467774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324240"/>
        <c:crosses val="autoZero"/>
        <c:crossBetween val="midCat"/>
      </c:valAx>
      <c:valAx>
        <c:axId val="19223242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Buckling pressure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324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365439632545933"/>
          <c:y val="0.42634259259259261"/>
          <c:w val="0.20468985126859143"/>
          <c:h val="0.189236657917760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</xdr:colOff>
      <xdr:row>6</xdr:row>
      <xdr:rowOff>6350</xdr:rowOff>
    </xdr:from>
    <xdr:to>
      <xdr:col>12</xdr:col>
      <xdr:colOff>600075</xdr:colOff>
      <xdr:row>19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970EB9-2831-507B-7CBD-69F28A2DD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155575</xdr:colOff>
      <xdr:row>1</xdr:row>
      <xdr:rowOff>25400</xdr:rowOff>
    </xdr:from>
    <xdr:to>
      <xdr:col>27</xdr:col>
      <xdr:colOff>460375</xdr:colOff>
      <xdr:row>16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2DD9ED-30AE-72AA-7B16-D314CAE09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117475</xdr:colOff>
      <xdr:row>17</xdr:row>
      <xdr:rowOff>114300</xdr:rowOff>
    </xdr:from>
    <xdr:to>
      <xdr:col>27</xdr:col>
      <xdr:colOff>422275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B53005-4392-A94A-86B3-9FA4660AB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206375</xdr:colOff>
      <xdr:row>33</xdr:row>
      <xdr:rowOff>101600</xdr:rowOff>
    </xdr:from>
    <xdr:to>
      <xdr:col>27</xdr:col>
      <xdr:colOff>511175</xdr:colOff>
      <xdr:row>48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F2CF8D-A984-35BD-BED1-A26E6E8F4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327025</xdr:colOff>
      <xdr:row>2</xdr:row>
      <xdr:rowOff>120650</xdr:rowOff>
    </xdr:from>
    <xdr:to>
      <xdr:col>23</xdr:col>
      <xdr:colOff>22225</xdr:colOff>
      <xdr:row>17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D109F7-CD0B-962C-DB63-78DE59081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111125</xdr:colOff>
      <xdr:row>2</xdr:row>
      <xdr:rowOff>69850</xdr:rowOff>
    </xdr:from>
    <xdr:to>
      <xdr:col>31</xdr:col>
      <xdr:colOff>415925</xdr:colOff>
      <xdr:row>17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154F44-B2A8-58DA-FBE2-1FBD77761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142875</xdr:colOff>
      <xdr:row>1</xdr:row>
      <xdr:rowOff>95250</xdr:rowOff>
    </xdr:from>
    <xdr:to>
      <xdr:col>24</xdr:col>
      <xdr:colOff>447675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AA9D93-247C-E6E2-FC19-79C158CB9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417589</xdr:colOff>
      <xdr:row>0</xdr:row>
      <xdr:rowOff>0</xdr:rowOff>
    </xdr:from>
    <xdr:to>
      <xdr:col>32</xdr:col>
      <xdr:colOff>109802</xdr:colOff>
      <xdr:row>14</xdr:row>
      <xdr:rowOff>167715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C2180B-C88B-897F-7E8E-B3B3DB644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292710</xdr:colOff>
      <xdr:row>15</xdr:row>
      <xdr:rowOff>60036</xdr:rowOff>
    </xdr:from>
    <xdr:to>
      <xdr:col>8</xdr:col>
      <xdr:colOff>127000</xdr:colOff>
      <xdr:row>30</xdr:row>
      <xdr:rowOff>3803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3D3E94-C9BF-454C-E69E-981680B0A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415636</xdr:colOff>
      <xdr:row>10</xdr:row>
      <xdr:rowOff>169718</xdr:rowOff>
    </xdr:from>
    <xdr:to>
      <xdr:col>21</xdr:col>
      <xdr:colOff>92364</xdr:colOff>
      <xdr:row>25</xdr:row>
      <xdr:rowOff>142009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C1987E-764C-8C22-BE6F-4078EDEA3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2E0F-D296-4386-8184-87CECF6B6C8B}">
  <dimension ref="B2:S22"/>
  <sheetViews>
    <sheetView topLeftCell="D1" workbookViewId="0">
      <selection activeCell="Q22" sqref="Q22"/>
    </sheetView>
  </sheetViews>
  <sheetFormatPr defaultRowHeight="14.5" x14ac:dyDescent="0.35"/>
  <cols>
    <col min="1" max="1" width="8.7265625" style="1"/>
    <col min="2" max="2" width="9.36328125" style="1" bestFit="1" customWidth="1"/>
    <col min="3" max="4" width="8.7265625" style="1"/>
    <col min="5" max="9" width="10" style="1" customWidth="1"/>
    <col min="10" max="10" width="17.81640625" style="1" bestFit="1" customWidth="1"/>
    <col min="11" max="13" width="8.7265625" style="1"/>
    <col min="14" max="18" width="12.7265625" style="1" customWidth="1"/>
    <col min="19" max="16384" width="8.7265625" style="1"/>
  </cols>
  <sheetData>
    <row r="2" spans="2:19" ht="16" customHeight="1" x14ac:dyDescent="0.35">
      <c r="C2" s="1" t="s">
        <v>1</v>
      </c>
    </row>
    <row r="3" spans="2:19" x14ac:dyDescent="0.35">
      <c r="B3" s="1" t="s">
        <v>0</v>
      </c>
      <c r="C3" s="1">
        <v>0.58650000000000002</v>
      </c>
    </row>
    <row r="4" spans="2:19" x14ac:dyDescent="0.35">
      <c r="B4" s="1" t="s">
        <v>2</v>
      </c>
      <c r="C4" s="1">
        <v>0.34595999999999999</v>
      </c>
      <c r="E4" s="65" t="s">
        <v>72</v>
      </c>
      <c r="F4" s="65"/>
    </row>
    <row r="5" spans="2:19" x14ac:dyDescent="0.35">
      <c r="M5" s="1" t="s">
        <v>9</v>
      </c>
    </row>
    <row r="6" spans="2:19" ht="15.5" customHeight="1" x14ac:dyDescent="0.35">
      <c r="E6" s="68" t="s">
        <v>3</v>
      </c>
      <c r="F6" s="66" t="s">
        <v>4</v>
      </c>
      <c r="G6" s="67"/>
      <c r="H6" s="68" t="s">
        <v>8</v>
      </c>
      <c r="I6" s="68" t="s">
        <v>9</v>
      </c>
      <c r="J6" s="71" t="s">
        <v>5</v>
      </c>
    </row>
    <row r="7" spans="2:19" ht="31" x14ac:dyDescent="0.35">
      <c r="E7" s="69"/>
      <c r="F7" s="2" t="s">
        <v>6</v>
      </c>
      <c r="G7" s="2" t="s">
        <v>7</v>
      </c>
      <c r="H7" s="69"/>
      <c r="I7" s="69"/>
      <c r="J7" s="71"/>
      <c r="M7" s="5" t="s">
        <v>35</v>
      </c>
      <c r="N7" s="5" t="s">
        <v>36</v>
      </c>
      <c r="O7" s="5" t="s">
        <v>37</v>
      </c>
      <c r="P7" s="5" t="s">
        <v>38</v>
      </c>
      <c r="Q7" s="5" t="s">
        <v>39</v>
      </c>
      <c r="R7" s="5" t="s">
        <v>40</v>
      </c>
      <c r="S7" s="5" t="s">
        <v>41</v>
      </c>
    </row>
    <row r="8" spans="2:19" ht="15.5" x14ac:dyDescent="0.35">
      <c r="E8" s="2">
        <v>1</v>
      </c>
      <c r="F8" s="2">
        <v>0.01</v>
      </c>
      <c r="G8" s="2">
        <v>1E-3</v>
      </c>
      <c r="H8" s="2">
        <v>263.29000000000002</v>
      </c>
      <c r="I8" s="2">
        <f>F8+(G8*H8)</f>
        <v>0.27329000000000003</v>
      </c>
      <c r="J8" s="2" t="s">
        <v>10</v>
      </c>
      <c r="M8" s="5">
        <v>1</v>
      </c>
      <c r="N8" s="5" t="s">
        <v>42</v>
      </c>
      <c r="O8" s="5" t="s">
        <v>42</v>
      </c>
      <c r="P8" s="5" t="s">
        <v>42</v>
      </c>
      <c r="Q8" s="5" t="s">
        <v>42</v>
      </c>
      <c r="R8" s="5" t="s">
        <v>42</v>
      </c>
      <c r="S8" s="5" t="s">
        <v>42</v>
      </c>
    </row>
    <row r="9" spans="2:19" ht="15.5" x14ac:dyDescent="0.35">
      <c r="E9" s="2">
        <v>2</v>
      </c>
      <c r="F9" s="2">
        <v>0.05</v>
      </c>
      <c r="G9" s="2">
        <v>5.0000000000000001E-3</v>
      </c>
      <c r="H9" s="2">
        <v>21.309000000000001</v>
      </c>
      <c r="I9" s="2">
        <f>F9+(G9*H9)</f>
        <v>0.15654499999999999</v>
      </c>
      <c r="J9" s="2" t="s">
        <v>11</v>
      </c>
      <c r="M9" s="5">
        <v>2</v>
      </c>
      <c r="N9" s="5" t="s">
        <v>42</v>
      </c>
      <c r="O9" s="5" t="s">
        <v>42</v>
      </c>
      <c r="P9" s="5" t="s">
        <v>42</v>
      </c>
      <c r="Q9" s="5" t="s">
        <v>43</v>
      </c>
      <c r="R9" s="5" t="s">
        <v>42</v>
      </c>
      <c r="S9" s="5" t="s">
        <v>42</v>
      </c>
    </row>
    <row r="10" spans="2:19" ht="15.5" x14ac:dyDescent="0.35">
      <c r="E10" s="2">
        <v>3</v>
      </c>
      <c r="F10" s="2">
        <v>0.08</v>
      </c>
      <c r="G10" s="2">
        <v>8.0000000000000002E-3</v>
      </c>
      <c r="H10" s="2">
        <v>2.9878999999999998</v>
      </c>
      <c r="I10" s="2">
        <f>F10+(G10*H10)</f>
        <v>0.1039032</v>
      </c>
      <c r="J10" s="2" t="s">
        <v>13</v>
      </c>
      <c r="M10" s="5">
        <v>3</v>
      </c>
      <c r="N10" s="5" t="s">
        <v>42</v>
      </c>
      <c r="O10" s="5" t="s">
        <v>42</v>
      </c>
      <c r="P10" s="5" t="s">
        <v>43</v>
      </c>
      <c r="Q10" s="5" t="s">
        <v>42</v>
      </c>
      <c r="R10" s="5" t="s">
        <v>42</v>
      </c>
      <c r="S10" s="5" t="s">
        <v>42</v>
      </c>
    </row>
    <row r="11" spans="2:19" ht="15.5" x14ac:dyDescent="0.35">
      <c r="E11" s="2">
        <v>4</v>
      </c>
      <c r="F11" s="2">
        <v>0.09</v>
      </c>
      <c r="G11" s="2">
        <v>8.9999999999999993E-3</v>
      </c>
      <c r="H11" s="2">
        <v>0.68047000000000002</v>
      </c>
      <c r="I11" s="2">
        <f>F11+(G11*H11)</f>
        <v>9.6124229999999991E-2</v>
      </c>
      <c r="J11" s="2" t="s">
        <v>12</v>
      </c>
      <c r="M11" s="5">
        <v>4</v>
      </c>
      <c r="N11" s="5" t="s">
        <v>42</v>
      </c>
      <c r="O11" s="5" t="s">
        <v>42</v>
      </c>
      <c r="P11" s="5" t="s">
        <v>43</v>
      </c>
      <c r="Q11" s="5" t="s">
        <v>43</v>
      </c>
      <c r="R11" s="5" t="s">
        <v>42</v>
      </c>
      <c r="S11" s="5" t="s">
        <v>42</v>
      </c>
    </row>
    <row r="13" spans="2:19" x14ac:dyDescent="0.35">
      <c r="M13" s="6"/>
      <c r="N13" s="70" t="s">
        <v>49</v>
      </c>
      <c r="O13" s="70"/>
      <c r="P13" s="70"/>
      <c r="Q13" s="70"/>
      <c r="R13" s="70"/>
    </row>
    <row r="14" spans="2:19" ht="25" x14ac:dyDescent="0.35">
      <c r="M14" s="8" t="s">
        <v>35</v>
      </c>
      <c r="N14" s="7" t="s">
        <v>44</v>
      </c>
      <c r="O14" s="7" t="s">
        <v>45</v>
      </c>
      <c r="P14" s="7" t="s">
        <v>46</v>
      </c>
      <c r="Q14" s="7" t="s">
        <v>47</v>
      </c>
      <c r="R14" s="7" t="s">
        <v>48</v>
      </c>
    </row>
    <row r="15" spans="2:19" ht="15.5" x14ac:dyDescent="0.35">
      <c r="E15" s="2" t="s">
        <v>77</v>
      </c>
      <c r="F15" s="2">
        <v>0.13200000000000001</v>
      </c>
      <c r="G15" s="2">
        <v>1.32E-2</v>
      </c>
      <c r="H15" s="2">
        <v>33.185000000000002</v>
      </c>
      <c r="I15" s="2">
        <f>F15+(G15*H15)</f>
        <v>0.57004200000000005</v>
      </c>
      <c r="J15" s="2" t="s">
        <v>50</v>
      </c>
      <c r="M15" s="8">
        <v>1</v>
      </c>
      <c r="N15" s="6" t="s">
        <v>57</v>
      </c>
      <c r="O15" s="6" t="s">
        <v>57</v>
      </c>
      <c r="P15" s="7" t="s">
        <v>58</v>
      </c>
      <c r="Q15" s="7" t="s">
        <v>58</v>
      </c>
      <c r="R15" s="7" t="s">
        <v>59</v>
      </c>
    </row>
    <row r="16" spans="2:19" x14ac:dyDescent="0.35">
      <c r="M16" s="8">
        <v>2</v>
      </c>
      <c r="N16" s="7" t="s">
        <v>60</v>
      </c>
      <c r="O16" s="7" t="s">
        <v>61</v>
      </c>
      <c r="P16" s="7" t="s">
        <v>61</v>
      </c>
      <c r="Q16" s="7" t="s">
        <v>62</v>
      </c>
      <c r="R16" s="7" t="s">
        <v>62</v>
      </c>
    </row>
    <row r="17" spans="13:18" x14ac:dyDescent="0.35">
      <c r="M17" s="8">
        <v>3</v>
      </c>
      <c r="N17" s="7" t="s">
        <v>51</v>
      </c>
      <c r="O17" s="7" t="s">
        <v>51</v>
      </c>
      <c r="P17" s="7" t="s">
        <v>53</v>
      </c>
      <c r="Q17" s="7" t="s">
        <v>53</v>
      </c>
      <c r="R17" s="7" t="s">
        <v>54</v>
      </c>
    </row>
    <row r="18" spans="13:18" x14ac:dyDescent="0.35">
      <c r="M18" s="8">
        <v>4</v>
      </c>
      <c r="N18" s="7" t="s">
        <v>52</v>
      </c>
      <c r="O18" s="7" t="s">
        <v>52</v>
      </c>
      <c r="P18" s="7" t="s">
        <v>55</v>
      </c>
      <c r="Q18" s="7" t="s">
        <v>55</v>
      </c>
      <c r="R18" s="7" t="s">
        <v>56</v>
      </c>
    </row>
    <row r="20" spans="13:18" ht="26" x14ac:dyDescent="0.35">
      <c r="M20" s="42" t="s">
        <v>128</v>
      </c>
      <c r="N20" s="43">
        <v>5828</v>
      </c>
      <c r="O20" s="43">
        <v>6936</v>
      </c>
      <c r="P20" s="43">
        <v>9204</v>
      </c>
      <c r="Q20" s="46">
        <v>12060</v>
      </c>
      <c r="R20" s="43">
        <v>14030</v>
      </c>
    </row>
    <row r="21" spans="13:18" ht="28" x14ac:dyDescent="0.35">
      <c r="M21" s="44" t="s">
        <v>129</v>
      </c>
      <c r="N21" s="42">
        <v>4.4319999999999998E-2</v>
      </c>
      <c r="O21" s="42">
        <v>4.4069999999999998E-2</v>
      </c>
      <c r="P21" s="42">
        <v>4.3749999999999997E-2</v>
      </c>
      <c r="Q21" s="47">
        <v>4.3439999999999999E-2</v>
      </c>
      <c r="R21" s="42">
        <v>4.3409999999999997E-2</v>
      </c>
    </row>
    <row r="22" spans="13:18" ht="26" x14ac:dyDescent="0.35">
      <c r="M22" s="42" t="s">
        <v>130</v>
      </c>
      <c r="N22" s="45">
        <f>((N21-$Q$21)/($Q$21))</f>
        <v>2.0257826887661114E-2</v>
      </c>
      <c r="O22" s="45">
        <f t="shared" ref="O22:P22" si="0">((O21-$Q$21)/($Q$21))</f>
        <v>1.4502762430939195E-2</v>
      </c>
      <c r="P22" s="45">
        <f t="shared" si="0"/>
        <v>7.1362799263351238E-3</v>
      </c>
      <c r="Q22" s="45">
        <f t="shared" ref="Q22" si="1">((Q21-$Q$21)/($Q$21))</f>
        <v>0</v>
      </c>
      <c r="R22" s="45">
        <f t="shared" ref="R22" si="2">((R21-$Q$21)/($Q$21))</f>
        <v>-6.9060773480668152E-4</v>
      </c>
    </row>
  </sheetData>
  <mergeCells count="7">
    <mergeCell ref="E4:F4"/>
    <mergeCell ref="F6:G6"/>
    <mergeCell ref="E6:E7"/>
    <mergeCell ref="N13:R13"/>
    <mergeCell ref="H6:H7"/>
    <mergeCell ref="J6:J7"/>
    <mergeCell ref="I6:I7"/>
  </mergeCells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7193D-F534-4155-A957-2646B19FDBC0}">
  <dimension ref="B3:I14"/>
  <sheetViews>
    <sheetView workbookViewId="0">
      <selection activeCell="B3" sqref="B3:I4"/>
    </sheetView>
  </sheetViews>
  <sheetFormatPr defaultRowHeight="15.5" x14ac:dyDescent="0.35"/>
  <cols>
    <col min="1" max="1" width="8.7265625" style="20"/>
    <col min="2" max="2" width="14.54296875" style="20" customWidth="1"/>
    <col min="3" max="7" width="12.26953125" style="20" customWidth="1"/>
    <col min="8" max="8" width="12.6328125" style="20" customWidth="1"/>
    <col min="9" max="16384" width="8.7265625" style="20"/>
  </cols>
  <sheetData>
    <row r="3" spans="2:9" x14ac:dyDescent="0.35">
      <c r="B3" s="2" t="s">
        <v>65</v>
      </c>
      <c r="C3" s="2" t="s">
        <v>66</v>
      </c>
      <c r="D3" s="2" t="s">
        <v>67</v>
      </c>
      <c r="E3" s="2" t="s">
        <v>68</v>
      </c>
      <c r="F3" s="2" t="s">
        <v>131</v>
      </c>
      <c r="G3" s="2" t="s">
        <v>132</v>
      </c>
      <c r="H3" s="2" t="s">
        <v>133</v>
      </c>
      <c r="I3" s="22" t="s">
        <v>64</v>
      </c>
    </row>
    <row r="4" spans="2:9" ht="16.5" x14ac:dyDescent="0.3">
      <c r="B4" s="9" t="s">
        <v>69</v>
      </c>
      <c r="C4" s="49">
        <v>6.7100000000000007E-2</v>
      </c>
      <c r="D4" s="49">
        <v>0.1244</v>
      </c>
      <c r="E4" s="49">
        <v>0.106</v>
      </c>
      <c r="F4" s="50">
        <v>4.3749999999999997E-2</v>
      </c>
      <c r="G4" s="48">
        <v>0.20817099999999999</v>
      </c>
      <c r="H4" s="51">
        <v>0.160165</v>
      </c>
      <c r="I4" s="50">
        <v>0.13200000000000001</v>
      </c>
    </row>
    <row r="10" spans="2:9" x14ac:dyDescent="0.35">
      <c r="B10" s="21"/>
    </row>
    <row r="11" spans="2:9" x14ac:dyDescent="0.35">
      <c r="B11" s="21"/>
    </row>
    <row r="12" spans="2:9" x14ac:dyDescent="0.35">
      <c r="B12" s="21"/>
    </row>
    <row r="13" spans="2:9" x14ac:dyDescent="0.35">
      <c r="B13" s="21"/>
    </row>
    <row r="14" spans="2:9" x14ac:dyDescent="0.35">
      <c r="B14" s="2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8731-76B9-42D3-94A5-BE34CBAC0885}">
  <dimension ref="C2:N7"/>
  <sheetViews>
    <sheetView topLeftCell="B1" workbookViewId="0">
      <selection activeCell="F2" sqref="F2:L7"/>
    </sheetView>
  </sheetViews>
  <sheetFormatPr defaultRowHeight="14.5" x14ac:dyDescent="0.35"/>
  <cols>
    <col min="1" max="5" width="8.7265625" style="10"/>
    <col min="6" max="6" width="11.08984375" style="10" bestFit="1" customWidth="1"/>
    <col min="7" max="16384" width="8.7265625" style="10"/>
  </cols>
  <sheetData>
    <row r="2" spans="3:14" x14ac:dyDescent="0.35">
      <c r="C2" s="10" t="s">
        <v>100</v>
      </c>
      <c r="D2" s="10">
        <v>2.375</v>
      </c>
      <c r="H2" s="72" t="s">
        <v>103</v>
      </c>
      <c r="I2" s="72"/>
      <c r="J2" s="72"/>
      <c r="K2" s="72"/>
      <c r="L2" s="72"/>
    </row>
    <row r="3" spans="3:14" x14ac:dyDescent="0.35">
      <c r="C3" s="10" t="s">
        <v>101</v>
      </c>
      <c r="D3" s="10">
        <v>1.5</v>
      </c>
      <c r="F3" s="11" t="s">
        <v>107</v>
      </c>
      <c r="G3" s="11">
        <v>-0.9</v>
      </c>
      <c r="H3" s="11" t="s">
        <v>104</v>
      </c>
      <c r="I3" s="11" t="s">
        <v>105</v>
      </c>
      <c r="J3" s="11" t="s">
        <v>106</v>
      </c>
      <c r="K3" s="11">
        <v>0</v>
      </c>
      <c r="L3" s="11">
        <v>0.28000000000000003</v>
      </c>
      <c r="N3" s="10" t="s">
        <v>108</v>
      </c>
    </row>
    <row r="4" spans="3:14" x14ac:dyDescent="0.35">
      <c r="C4" s="10" t="s">
        <v>102</v>
      </c>
      <c r="D4" s="10">
        <v>2.375</v>
      </c>
      <c r="F4" s="11">
        <v>15</v>
      </c>
      <c r="G4" s="11">
        <v>0.16001499999999999</v>
      </c>
      <c r="H4" s="11">
        <v>0.160165</v>
      </c>
      <c r="I4" s="11">
        <v>0.15995200000000001</v>
      </c>
      <c r="J4" s="11">
        <v>0.160686</v>
      </c>
      <c r="K4" s="11">
        <v>0.15995699999999999</v>
      </c>
      <c r="L4" s="11">
        <v>4.3749999999999997E-2</v>
      </c>
      <c r="N4" s="10">
        <f>G4/0.132</f>
        <v>1.2122348484848484</v>
      </c>
    </row>
    <row r="5" spans="3:14" x14ac:dyDescent="0.35">
      <c r="D5" s="10">
        <f>SUM(D2:D4)</f>
        <v>6.25</v>
      </c>
      <c r="F5" s="11">
        <v>10</v>
      </c>
      <c r="G5" s="11">
        <v>0.124054</v>
      </c>
      <c r="H5" s="11">
        <v>0.123904</v>
      </c>
      <c r="I5" s="11">
        <v>0.123908</v>
      </c>
      <c r="J5" s="11">
        <v>0.123929</v>
      </c>
      <c r="K5" s="11">
        <v>0.12392300000000001</v>
      </c>
      <c r="L5" s="11">
        <v>4.3749999999999997E-2</v>
      </c>
    </row>
    <row r="6" spans="3:14" x14ac:dyDescent="0.35">
      <c r="F6" s="11">
        <v>5</v>
      </c>
      <c r="G6" s="11">
        <v>8.6027400000000004E-2</v>
      </c>
      <c r="H6" s="11">
        <v>8.6207699999999998E-2</v>
      </c>
      <c r="I6" s="11">
        <v>8.6151099999999994E-2</v>
      </c>
      <c r="J6" s="11">
        <v>8.61127E-2</v>
      </c>
      <c r="K6" s="11">
        <v>8.6110500000000006E-2</v>
      </c>
      <c r="L6" s="11">
        <v>4.3749999999999997E-2</v>
      </c>
    </row>
    <row r="7" spans="3:14" x14ac:dyDescent="0.35">
      <c r="F7" s="11">
        <v>1.5</v>
      </c>
      <c r="G7" s="11">
        <v>5.7446700000000003E-2</v>
      </c>
      <c r="H7" s="11">
        <v>5.7452400000000001E-2</v>
      </c>
      <c r="I7" s="11">
        <v>5.74263E-2</v>
      </c>
      <c r="J7" s="11">
        <v>5.7412999999999999E-2</v>
      </c>
      <c r="K7" s="11">
        <v>5.7408300000000002E-2</v>
      </c>
      <c r="L7" s="11">
        <v>4.3749999999999997E-2</v>
      </c>
    </row>
  </sheetData>
  <mergeCells count="1">
    <mergeCell ref="H2:L2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BD2D-0BBD-4B6D-9706-8BBE030FE38E}">
  <dimension ref="E1:G8"/>
  <sheetViews>
    <sheetView workbookViewId="0">
      <selection activeCell="D6" sqref="D6"/>
    </sheetView>
  </sheetViews>
  <sheetFormatPr defaultRowHeight="15.5" x14ac:dyDescent="0.35"/>
  <cols>
    <col min="1" max="4" width="8.7265625" style="52"/>
    <col min="5" max="7" width="28.6328125" style="52" customWidth="1"/>
    <col min="8" max="16384" width="8.7265625" style="52"/>
  </cols>
  <sheetData>
    <row r="1" spans="5:7" ht="16" thickBot="1" x14ac:dyDescent="0.4"/>
    <row r="2" spans="5:7" ht="31.5" thickBot="1" x14ac:dyDescent="0.4">
      <c r="E2" s="53" t="s">
        <v>134</v>
      </c>
      <c r="F2" s="53" t="s">
        <v>135</v>
      </c>
      <c r="G2" s="53" t="s">
        <v>136</v>
      </c>
    </row>
    <row r="3" spans="5:7" ht="16" thickBot="1" x14ac:dyDescent="0.4">
      <c r="E3" s="53" t="s">
        <v>137</v>
      </c>
      <c r="F3" s="53" t="s">
        <v>151</v>
      </c>
      <c r="G3" s="53" t="s">
        <v>152</v>
      </c>
    </row>
    <row r="4" spans="5:7" ht="31.5" thickBot="1" x14ac:dyDescent="0.4">
      <c r="E4" s="53" t="s">
        <v>138</v>
      </c>
      <c r="F4" s="53" t="s">
        <v>139</v>
      </c>
      <c r="G4" s="53" t="s">
        <v>140</v>
      </c>
    </row>
    <row r="5" spans="5:7" ht="31.5" thickBot="1" x14ac:dyDescent="0.4">
      <c r="E5" s="53" t="s">
        <v>141</v>
      </c>
      <c r="F5" s="53" t="s">
        <v>153</v>
      </c>
      <c r="G5" s="53" t="s">
        <v>154</v>
      </c>
    </row>
    <row r="6" spans="5:7" ht="31.5" thickBot="1" x14ac:dyDescent="0.4">
      <c r="E6" s="53" t="s">
        <v>142</v>
      </c>
      <c r="F6" s="53" t="s">
        <v>143</v>
      </c>
      <c r="G6" s="53" t="s">
        <v>144</v>
      </c>
    </row>
    <row r="7" spans="5:7" ht="31.5" thickBot="1" x14ac:dyDescent="0.4">
      <c r="E7" s="53" t="s">
        <v>145</v>
      </c>
      <c r="F7" s="53" t="s">
        <v>146</v>
      </c>
      <c r="G7" s="53" t="s">
        <v>147</v>
      </c>
    </row>
    <row r="8" spans="5:7" ht="31.5" thickBot="1" x14ac:dyDescent="0.4">
      <c r="E8" s="53" t="s">
        <v>148</v>
      </c>
      <c r="F8" s="53" t="s">
        <v>149</v>
      </c>
      <c r="G8" s="53" t="s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3365-25CF-454E-9A66-E826A8642670}">
  <dimension ref="B2:AR75"/>
  <sheetViews>
    <sheetView topLeftCell="I4" zoomScaleNormal="100" workbookViewId="0">
      <selection activeCell="AR49" sqref="AR49"/>
    </sheetView>
  </sheetViews>
  <sheetFormatPr defaultRowHeight="14.5" x14ac:dyDescent="0.35"/>
  <cols>
    <col min="1" max="16384" width="8.7265625" style="1"/>
  </cols>
  <sheetData>
    <row r="2" spans="2:44" x14ac:dyDescent="0.35">
      <c r="B2" s="1" t="s">
        <v>187</v>
      </c>
      <c r="M2" s="1" t="s">
        <v>133</v>
      </c>
    </row>
    <row r="3" spans="2:44" x14ac:dyDescent="0.35">
      <c r="B3" s="23" t="s">
        <v>159</v>
      </c>
      <c r="C3" s="23" t="s">
        <v>164</v>
      </c>
      <c r="D3" s="23" t="s">
        <v>115</v>
      </c>
      <c r="E3" s="23" t="s">
        <v>76</v>
      </c>
      <c r="F3" s="23" t="s">
        <v>163</v>
      </c>
      <c r="G3" s="23" t="s">
        <v>155</v>
      </c>
      <c r="H3" s="23" t="s">
        <v>165</v>
      </c>
      <c r="I3" s="23" t="s">
        <v>160</v>
      </c>
      <c r="J3" s="23" t="s">
        <v>162</v>
      </c>
      <c r="K3" s="23" t="s">
        <v>161</v>
      </c>
      <c r="M3" s="23" t="s">
        <v>159</v>
      </c>
      <c r="N3" s="23" t="s">
        <v>164</v>
      </c>
      <c r="O3" s="23" t="s">
        <v>115</v>
      </c>
      <c r="P3" s="23" t="s">
        <v>76</v>
      </c>
      <c r="Q3" s="23" t="s">
        <v>163</v>
      </c>
      <c r="R3" s="23" t="s">
        <v>155</v>
      </c>
      <c r="S3" s="23" t="s">
        <v>165</v>
      </c>
      <c r="T3" s="23" t="s">
        <v>160</v>
      </c>
      <c r="U3" s="23" t="s">
        <v>162</v>
      </c>
      <c r="V3" s="23" t="s">
        <v>161</v>
      </c>
    </row>
    <row r="4" spans="2:44" x14ac:dyDescent="0.35">
      <c r="B4" s="23" t="s">
        <v>156</v>
      </c>
      <c r="C4" s="23">
        <v>6.0000000000000001E-3</v>
      </c>
      <c r="D4" s="23">
        <v>3000</v>
      </c>
      <c r="E4" s="23">
        <v>4.75</v>
      </c>
      <c r="F4" s="23">
        <f>4*((D4*E4)^0.5)</f>
        <v>477.49345545253288</v>
      </c>
      <c r="G4" s="54">
        <f>C4*F4</f>
        <v>2.8649607327151974</v>
      </c>
      <c r="H4" s="23">
        <f>G4/E4</f>
        <v>0.60314962794004157</v>
      </c>
      <c r="I4" s="23"/>
      <c r="J4" s="23"/>
      <c r="K4" s="23"/>
      <c r="M4" s="23" t="s">
        <v>156</v>
      </c>
      <c r="N4" s="23">
        <v>6.0000000000000001E-3</v>
      </c>
      <c r="O4" s="23">
        <v>3000</v>
      </c>
      <c r="P4" s="23">
        <v>19.75</v>
      </c>
      <c r="Q4" s="23">
        <f>4*((O4*P4)^0.5)</f>
        <v>973.65291557104683</v>
      </c>
      <c r="R4" s="54">
        <f>N4*Q4</f>
        <v>5.8419174934262807</v>
      </c>
      <c r="S4" s="23">
        <f>R4/P4</f>
        <v>0.29579329080639394</v>
      </c>
      <c r="T4" s="23"/>
      <c r="U4" s="23"/>
      <c r="V4" s="23"/>
    </row>
    <row r="5" spans="2:44" x14ac:dyDescent="0.35">
      <c r="B5" s="23" t="s">
        <v>157</v>
      </c>
      <c r="C5" s="23">
        <v>0.01</v>
      </c>
      <c r="D5" s="23">
        <v>3000</v>
      </c>
      <c r="E5" s="23">
        <v>4.75</v>
      </c>
      <c r="F5" s="23">
        <f t="shared" ref="F5:F6" si="0">4*((D5*E5)^0.5)</f>
        <v>477.49345545253288</v>
      </c>
      <c r="G5" s="54">
        <f>C5*F5</f>
        <v>4.7749345545253288</v>
      </c>
      <c r="H5" s="23">
        <f t="shared" ref="H5:H6" si="1">G5/E5</f>
        <v>1.0052493799000692</v>
      </c>
      <c r="I5" s="23"/>
      <c r="J5" s="23"/>
      <c r="K5" s="23"/>
      <c r="M5" s="23" t="s">
        <v>157</v>
      </c>
      <c r="N5" s="23">
        <v>0.01</v>
      </c>
      <c r="O5" s="23">
        <v>3000</v>
      </c>
      <c r="P5" s="23">
        <v>19.75</v>
      </c>
      <c r="Q5" s="23">
        <f t="shared" ref="Q5" si="2">4*((O5*P5)^0.5)</f>
        <v>973.65291557104683</v>
      </c>
      <c r="R5" s="54">
        <f>N5*Q5</f>
        <v>9.7365291557104694</v>
      </c>
      <c r="S5" s="23">
        <f t="shared" ref="S5:S6" si="3">R5/P5</f>
        <v>0.49298881801065669</v>
      </c>
      <c r="T5" s="23"/>
      <c r="U5" s="23"/>
      <c r="V5" s="23"/>
      <c r="AE5" s="1" t="s">
        <v>132</v>
      </c>
      <c r="AH5" s="1" t="s">
        <v>132</v>
      </c>
      <c r="AK5" s="1" t="s">
        <v>132</v>
      </c>
      <c r="AN5" s="1" t="s">
        <v>132</v>
      </c>
      <c r="AQ5" s="1" t="s">
        <v>132</v>
      </c>
    </row>
    <row r="6" spans="2:44" x14ac:dyDescent="0.35">
      <c r="B6" s="23" t="s">
        <v>158</v>
      </c>
      <c r="C6" s="23">
        <v>1.6E-2</v>
      </c>
      <c r="D6" s="23">
        <v>3000</v>
      </c>
      <c r="E6" s="23">
        <v>4.75</v>
      </c>
      <c r="F6" s="23">
        <f t="shared" si="0"/>
        <v>477.49345545253288</v>
      </c>
      <c r="G6" s="54">
        <f>C6*F6</f>
        <v>7.6398952872405266</v>
      </c>
      <c r="H6" s="23">
        <f t="shared" si="1"/>
        <v>1.6083990078401109</v>
      </c>
      <c r="I6" s="23"/>
      <c r="J6" s="23"/>
      <c r="K6" s="23"/>
      <c r="M6" s="23" t="s">
        <v>158</v>
      </c>
      <c r="N6" s="23">
        <v>1.6E-2</v>
      </c>
      <c r="O6" s="23">
        <v>3000</v>
      </c>
      <c r="P6" s="23">
        <v>19.75</v>
      </c>
      <c r="Q6" s="23">
        <f>4*((O6*P6)^0.5)</f>
        <v>973.65291557104683</v>
      </c>
      <c r="R6" s="54">
        <f t="shared" ref="R6" si="4">N6*Q6</f>
        <v>15.578446649136749</v>
      </c>
      <c r="S6" s="23">
        <f t="shared" si="3"/>
        <v>0.78878210881705058</v>
      </c>
      <c r="T6" s="23"/>
      <c r="U6" s="23"/>
      <c r="V6" s="23"/>
      <c r="AF6" s="1" t="s">
        <v>182</v>
      </c>
      <c r="AI6" s="1" t="s">
        <v>183</v>
      </c>
      <c r="AL6" s="1" t="s">
        <v>184</v>
      </c>
      <c r="AO6" s="1" t="s">
        <v>185</v>
      </c>
      <c r="AR6" s="1" t="s">
        <v>186</v>
      </c>
    </row>
    <row r="7" spans="2:44" x14ac:dyDescent="0.35">
      <c r="AE7" s="1" t="s">
        <v>15</v>
      </c>
      <c r="AF7" s="1" t="s">
        <v>14</v>
      </c>
      <c r="AH7" s="1" t="s">
        <v>15</v>
      </c>
      <c r="AI7" s="1" t="s">
        <v>14</v>
      </c>
      <c r="AK7" s="1" t="s">
        <v>15</v>
      </c>
      <c r="AL7" s="1" t="s">
        <v>14</v>
      </c>
      <c r="AN7" s="1" t="s">
        <v>15</v>
      </c>
      <c r="AO7" s="1" t="s">
        <v>14</v>
      </c>
      <c r="AQ7" s="1" t="s">
        <v>15</v>
      </c>
      <c r="AR7" s="1" t="s">
        <v>14</v>
      </c>
    </row>
    <row r="8" spans="2:44" x14ac:dyDescent="0.35">
      <c r="C8" s="1" t="s">
        <v>166</v>
      </c>
      <c r="F8" s="1" t="s">
        <v>158</v>
      </c>
      <c r="I8" s="1" t="s">
        <v>166</v>
      </c>
      <c r="L8" s="1" t="s">
        <v>158</v>
      </c>
      <c r="O8" s="1" t="s">
        <v>166</v>
      </c>
      <c r="R8" s="1" t="s">
        <v>158</v>
      </c>
      <c r="AE8" s="1">
        <v>0</v>
      </c>
      <c r="AF8" s="1">
        <v>0</v>
      </c>
      <c r="AH8" s="1">
        <v>0</v>
      </c>
      <c r="AI8" s="1">
        <v>0</v>
      </c>
      <c r="AK8" s="1">
        <v>0</v>
      </c>
      <c r="AL8" s="1">
        <v>0</v>
      </c>
      <c r="AN8" s="1">
        <v>0</v>
      </c>
      <c r="AO8" s="1">
        <v>0</v>
      </c>
      <c r="AQ8" s="1">
        <v>0</v>
      </c>
      <c r="AR8" s="1">
        <v>0</v>
      </c>
    </row>
    <row r="9" spans="2:44" x14ac:dyDescent="0.35">
      <c r="B9" s="1" t="s">
        <v>15</v>
      </c>
      <c r="C9" s="1" t="s">
        <v>14</v>
      </c>
      <c r="E9" s="1" t="s">
        <v>15</v>
      </c>
      <c r="F9" s="1" t="s">
        <v>14</v>
      </c>
      <c r="H9" s="1" t="s">
        <v>15</v>
      </c>
      <c r="I9" s="1" t="s">
        <v>14</v>
      </c>
      <c r="K9" s="1" t="s">
        <v>15</v>
      </c>
      <c r="L9" s="1" t="s">
        <v>14</v>
      </c>
      <c r="N9" s="1" t="s">
        <v>15</v>
      </c>
      <c r="O9" s="1" t="s">
        <v>14</v>
      </c>
      <c r="Q9" s="1" t="s">
        <v>15</v>
      </c>
      <c r="R9" s="1" t="s">
        <v>14</v>
      </c>
      <c r="AE9" s="1">
        <v>8.8567800000000002E-2</v>
      </c>
      <c r="AF9" s="1">
        <v>1.0077300000000001E-2</v>
      </c>
      <c r="AH9" s="1">
        <v>8.8802900000000004E-2</v>
      </c>
      <c r="AI9" s="1">
        <v>1.0078E-2</v>
      </c>
      <c r="AK9" s="1">
        <v>8.9433899999999997E-2</v>
      </c>
      <c r="AL9" s="1">
        <v>1.0074100000000001E-2</v>
      </c>
      <c r="AN9" s="1">
        <v>8.9402800000000004E-2</v>
      </c>
      <c r="AO9" s="1">
        <v>1.00742E-2</v>
      </c>
      <c r="AQ9" s="1">
        <v>8.7740299999999993E-2</v>
      </c>
      <c r="AR9" s="1">
        <v>1.0073800000000001E-2</v>
      </c>
    </row>
    <row r="10" spans="2:44" x14ac:dyDescent="0.35">
      <c r="B10" s="1">
        <v>0</v>
      </c>
      <c r="C10" s="1">
        <v>0</v>
      </c>
      <c r="E10" s="1">
        <v>0.19347600000000001</v>
      </c>
      <c r="F10" s="1">
        <v>0</v>
      </c>
      <c r="H10" s="1">
        <v>0</v>
      </c>
      <c r="I10" s="1">
        <v>0</v>
      </c>
      <c r="K10" s="1">
        <v>-0.29913600000000001</v>
      </c>
      <c r="L10" s="1">
        <v>0</v>
      </c>
      <c r="N10" s="1">
        <v>0</v>
      </c>
      <c r="O10" s="1">
        <v>0</v>
      </c>
      <c r="Q10" s="1">
        <v>0.73414400000000002</v>
      </c>
      <c r="R10" s="1">
        <v>0</v>
      </c>
      <c r="AE10" s="1">
        <v>0.172934</v>
      </c>
      <c r="AF10" s="1">
        <v>2.0297599999999999E-2</v>
      </c>
      <c r="AH10" s="1">
        <v>0.17343</v>
      </c>
      <c r="AI10" s="1">
        <v>2.0300200000000001E-2</v>
      </c>
      <c r="AK10" s="1">
        <v>0.17485899999999999</v>
      </c>
      <c r="AL10" s="1">
        <v>2.0284900000000002E-2</v>
      </c>
      <c r="AN10" s="1">
        <v>0.17478099999999999</v>
      </c>
      <c r="AO10" s="1">
        <v>2.0285299999999999E-2</v>
      </c>
      <c r="AQ10" s="1">
        <v>0.171349</v>
      </c>
      <c r="AR10" s="1">
        <v>2.0283099999999998E-2</v>
      </c>
    </row>
    <row r="11" spans="2:44" x14ac:dyDescent="0.35">
      <c r="B11" s="1">
        <v>1.23244</v>
      </c>
      <c r="C11" s="1">
        <v>9.7113900000000003E-3</v>
      </c>
      <c r="E11" s="1">
        <v>1.4085399999999999</v>
      </c>
      <c r="F11" s="1">
        <v>9.7250700000000006E-3</v>
      </c>
      <c r="H11" s="1">
        <v>8.9930399999999994E-2</v>
      </c>
      <c r="I11" s="1">
        <v>1.00821E-2</v>
      </c>
      <c r="K11" s="1">
        <v>-0.202847</v>
      </c>
      <c r="L11" s="1">
        <v>1.0086700000000001E-2</v>
      </c>
      <c r="N11" s="1">
        <v>0.364151</v>
      </c>
      <c r="O11" s="1">
        <v>9.9628000000000008E-3</v>
      </c>
      <c r="Q11" s="1">
        <v>1.06142</v>
      </c>
      <c r="R11" s="1">
        <v>9.9270699999999996E-3</v>
      </c>
      <c r="AE11" s="1">
        <v>0.291383</v>
      </c>
      <c r="AF11" s="1">
        <v>3.58927E-2</v>
      </c>
      <c r="AH11" s="1">
        <v>0.29231699999999999</v>
      </c>
      <c r="AI11" s="1">
        <v>3.5901000000000002E-2</v>
      </c>
      <c r="AK11" s="1">
        <v>0.295267</v>
      </c>
      <c r="AL11" s="1">
        <v>3.5854700000000003E-2</v>
      </c>
      <c r="AN11" s="1">
        <v>0.29508800000000002</v>
      </c>
      <c r="AO11" s="1">
        <v>3.5855999999999999E-2</v>
      </c>
      <c r="AQ11" s="1">
        <v>0.28879899999999997</v>
      </c>
      <c r="AR11" s="1">
        <v>3.5847200000000003E-2</v>
      </c>
    </row>
    <row r="12" spans="2:44" x14ac:dyDescent="0.35">
      <c r="B12" s="1">
        <v>2.4640499999999999</v>
      </c>
      <c r="C12" s="1">
        <v>1.8843499999999999E-2</v>
      </c>
      <c r="E12" s="1">
        <v>2.6223700000000001</v>
      </c>
      <c r="F12" s="1">
        <v>1.8909499999999999E-2</v>
      </c>
      <c r="H12" s="1">
        <v>0.176038</v>
      </c>
      <c r="I12" s="1">
        <v>2.0315799999999998E-2</v>
      </c>
      <c r="K12" s="1">
        <v>-0.10997800000000001</v>
      </c>
      <c r="L12" s="1">
        <v>2.03349E-2</v>
      </c>
      <c r="N12" s="1">
        <v>0.72820600000000002</v>
      </c>
      <c r="O12" s="1">
        <v>1.9846800000000001E-2</v>
      </c>
      <c r="Q12" s="1">
        <v>1.3886400000000001</v>
      </c>
      <c r="R12" s="1">
        <v>1.9772700000000001E-2</v>
      </c>
      <c r="AE12" s="1">
        <v>0.44948100000000002</v>
      </c>
      <c r="AF12" s="1">
        <v>5.9861600000000001E-2</v>
      </c>
      <c r="AH12" s="1">
        <v>0.45117600000000002</v>
      </c>
      <c r="AI12" s="1">
        <v>5.9885300000000002E-2</v>
      </c>
      <c r="AK12" s="1">
        <v>0.45720699999999997</v>
      </c>
      <c r="AL12" s="1">
        <v>5.9763799999999999E-2</v>
      </c>
      <c r="AN12" s="1">
        <v>0.45679500000000001</v>
      </c>
      <c r="AO12" s="1">
        <v>5.97677E-2</v>
      </c>
      <c r="AQ12" s="1">
        <v>0.445774</v>
      </c>
      <c r="AR12" s="1">
        <v>5.9735400000000001E-2</v>
      </c>
    </row>
    <row r="13" spans="2:44" x14ac:dyDescent="0.35">
      <c r="B13" s="1">
        <v>4.3101000000000003</v>
      </c>
      <c r="C13" s="1">
        <v>3.1506800000000001E-2</v>
      </c>
      <c r="E13" s="1">
        <v>4.4411399999999999</v>
      </c>
      <c r="F13" s="1">
        <v>3.17647E-2</v>
      </c>
      <c r="H13" s="1">
        <v>0.29772500000000002</v>
      </c>
      <c r="I13" s="1">
        <v>3.5943200000000002E-2</v>
      </c>
      <c r="K13" s="1">
        <v>2.2707499999999999E-2</v>
      </c>
      <c r="L13" s="1">
        <v>3.6006200000000002E-2</v>
      </c>
      <c r="N13" s="1">
        <v>1.2741100000000001</v>
      </c>
      <c r="O13" s="1">
        <v>3.4525899999999998E-2</v>
      </c>
      <c r="Q13" s="1">
        <v>1.87948</v>
      </c>
      <c r="R13" s="1">
        <v>3.4359899999999999E-2</v>
      </c>
      <c r="AE13" s="1">
        <v>0.64273499999999995</v>
      </c>
      <c r="AF13" s="1">
        <v>9.6802899999999997E-2</v>
      </c>
      <c r="AH13" s="1">
        <v>0.64573499999999995</v>
      </c>
      <c r="AI13" s="1">
        <v>9.6868300000000004E-2</v>
      </c>
      <c r="AK13" s="1">
        <v>0.65741799999999995</v>
      </c>
      <c r="AL13" s="1">
        <v>9.6647399999999994E-2</v>
      </c>
      <c r="AN13" s="1">
        <v>0.656358</v>
      </c>
      <c r="AO13" s="1">
        <v>9.6666100000000005E-2</v>
      </c>
      <c r="AQ13" s="1">
        <v>0.63704799999999995</v>
      </c>
      <c r="AR13" s="1">
        <v>9.6571699999999996E-2</v>
      </c>
    </row>
    <row r="14" spans="2:44" x14ac:dyDescent="0.35">
      <c r="B14" s="1">
        <v>7.0849099999999998</v>
      </c>
      <c r="C14" s="1">
        <v>4.09056E-2</v>
      </c>
      <c r="E14" s="1">
        <v>7.1725599999999998</v>
      </c>
      <c r="F14" s="1">
        <v>4.1449100000000003E-2</v>
      </c>
      <c r="H14" s="1">
        <v>0.46248800000000001</v>
      </c>
      <c r="I14" s="1">
        <v>5.99745E-2</v>
      </c>
      <c r="K14" s="1">
        <v>0.20580699999999999</v>
      </c>
      <c r="L14" s="1">
        <v>6.01649E-2</v>
      </c>
      <c r="N14" s="1">
        <v>2.0925799999999999</v>
      </c>
      <c r="O14" s="1">
        <v>5.6216799999999997E-2</v>
      </c>
      <c r="Q14" s="1">
        <v>2.6160999999999999</v>
      </c>
      <c r="R14" s="1">
        <v>5.5659500000000001E-2</v>
      </c>
      <c r="AE14" s="1">
        <v>1.1016300000000001</v>
      </c>
      <c r="AF14" s="1">
        <v>0.13630600000000001</v>
      </c>
      <c r="AH14" s="1">
        <v>1.10693</v>
      </c>
      <c r="AI14" s="1">
        <v>0.136328</v>
      </c>
      <c r="AK14" s="1">
        <v>1.1248100000000001</v>
      </c>
      <c r="AL14" s="1">
        <v>0.136098</v>
      </c>
      <c r="AN14" s="1">
        <v>1.1242099999999999</v>
      </c>
      <c r="AO14" s="1">
        <v>0.136103</v>
      </c>
      <c r="AQ14" s="1">
        <v>1.0895999999999999</v>
      </c>
      <c r="AR14" s="1">
        <v>0.13617599999999999</v>
      </c>
    </row>
    <row r="15" spans="2:44" x14ac:dyDescent="0.35">
      <c r="B15" s="55">
        <v>11.266299999999999</v>
      </c>
      <c r="C15" s="55">
        <v>4.3752300000000001E-2</v>
      </c>
      <c r="E15" s="1">
        <v>8.6777899999999999</v>
      </c>
      <c r="F15" s="1">
        <v>4.3610099999999999E-2</v>
      </c>
      <c r="H15" s="1">
        <v>0.66722199999999998</v>
      </c>
      <c r="I15" s="1">
        <v>9.7127400000000003E-2</v>
      </c>
      <c r="K15" s="1">
        <v>0.44541599999999998</v>
      </c>
      <c r="L15" s="1">
        <v>9.7461800000000001E-2</v>
      </c>
      <c r="N15" s="1">
        <v>3.31989</v>
      </c>
      <c r="O15" s="1">
        <v>8.6291400000000004E-2</v>
      </c>
      <c r="Q15" s="1">
        <v>3.7207499999999998</v>
      </c>
      <c r="R15" s="1">
        <v>8.5092299999999996E-2</v>
      </c>
      <c r="AE15" s="1">
        <v>1.8176099999999999</v>
      </c>
      <c r="AF15" s="1">
        <v>0.16991899999999999</v>
      </c>
      <c r="AH15" s="1">
        <v>1.8268800000000001</v>
      </c>
      <c r="AI15" s="1">
        <v>0.170011</v>
      </c>
      <c r="AK15" s="1">
        <v>1.87565</v>
      </c>
      <c r="AL15" s="1">
        <v>0.16980600000000001</v>
      </c>
      <c r="AN15" s="1">
        <v>1.87131</v>
      </c>
      <c r="AO15" s="1">
        <v>0.169818</v>
      </c>
      <c r="AQ15" s="1">
        <v>1.8163400000000001</v>
      </c>
      <c r="AR15" s="1">
        <v>0.16991800000000001</v>
      </c>
    </row>
    <row r="16" spans="2:44" x14ac:dyDescent="0.35">
      <c r="B16" s="1">
        <v>13.6248</v>
      </c>
      <c r="C16" s="1">
        <v>4.3619499999999999E-2</v>
      </c>
      <c r="E16" s="55">
        <v>10.1135</v>
      </c>
      <c r="F16" s="55">
        <v>4.43968E-2</v>
      </c>
      <c r="H16" s="1">
        <v>1.1205400000000001</v>
      </c>
      <c r="I16" s="1">
        <v>0.13650899999999999</v>
      </c>
      <c r="K16" s="1">
        <v>0.93187399999999998</v>
      </c>
      <c r="L16" s="1">
        <v>0.13632</v>
      </c>
      <c r="N16" s="1">
        <v>5.1645899999999996</v>
      </c>
      <c r="O16" s="1">
        <v>0.122047</v>
      </c>
      <c r="Q16" s="1">
        <v>5.3757799999999998</v>
      </c>
      <c r="R16" s="1">
        <v>0.12137100000000001</v>
      </c>
      <c r="AE16" s="1">
        <v>2.1516700000000002</v>
      </c>
      <c r="AF16" s="1">
        <v>0.18185799999999999</v>
      </c>
      <c r="AH16" s="1">
        <v>2.1612200000000001</v>
      </c>
      <c r="AI16" s="1">
        <v>0.18190600000000001</v>
      </c>
      <c r="AK16" s="1">
        <v>2.2232799999999999</v>
      </c>
      <c r="AL16" s="1">
        <v>0.181731</v>
      </c>
      <c r="AN16" s="1">
        <v>2.4220899999999999</v>
      </c>
      <c r="AO16" s="1">
        <v>0.189052</v>
      </c>
      <c r="AQ16" s="1">
        <v>2.2871999999999999</v>
      </c>
      <c r="AR16" s="1">
        <v>0.18625700000000001</v>
      </c>
    </row>
    <row r="17" spans="2:44" x14ac:dyDescent="0.35">
      <c r="B17" s="1">
        <v>17.163399999999999</v>
      </c>
      <c r="C17" s="1">
        <v>4.3055499999999997E-2</v>
      </c>
      <c r="E17" s="1">
        <v>11.4871</v>
      </c>
      <c r="F17" s="1">
        <v>4.4381999999999998E-2</v>
      </c>
      <c r="H17" s="1">
        <v>1.8305499999999999</v>
      </c>
      <c r="I17" s="1">
        <v>0.16950599999999999</v>
      </c>
      <c r="K17" s="1">
        <v>1.6874</v>
      </c>
      <c r="L17" s="1">
        <v>0.16902400000000001</v>
      </c>
      <c r="N17" s="1">
        <v>7.9512299999999998</v>
      </c>
      <c r="O17" s="1">
        <v>0.14814099999999999</v>
      </c>
      <c r="Q17" s="1">
        <v>7.8390399999999998</v>
      </c>
      <c r="R17" s="1">
        <v>0.15037400000000001</v>
      </c>
      <c r="AE17" s="1">
        <v>2.4410799999999999</v>
      </c>
      <c r="AF17" s="1">
        <v>0.19439999999999999</v>
      </c>
      <c r="AH17" s="1">
        <v>2.45791</v>
      </c>
      <c r="AI17" s="1">
        <v>0.194549</v>
      </c>
      <c r="AK17" s="1">
        <v>2.53227</v>
      </c>
      <c r="AL17" s="1">
        <v>0.194407</v>
      </c>
      <c r="AN17" s="1">
        <v>2.4993400000000001</v>
      </c>
      <c r="AO17" s="1">
        <v>0.20011300000000001</v>
      </c>
      <c r="AQ17" s="1">
        <v>2.47722</v>
      </c>
      <c r="AR17" s="1">
        <v>0.20022799999999999</v>
      </c>
    </row>
    <row r="18" spans="2:44" x14ac:dyDescent="0.35">
      <c r="B18" s="1">
        <v>22.485600000000002</v>
      </c>
      <c r="C18" s="1">
        <v>4.1103899999999999E-2</v>
      </c>
      <c r="E18" s="1">
        <v>12.8436</v>
      </c>
      <c r="F18" s="1">
        <v>4.39446E-2</v>
      </c>
      <c r="H18" s="1">
        <v>2.5744699999999998</v>
      </c>
      <c r="I18" s="1">
        <v>0.19428899999999999</v>
      </c>
      <c r="K18" s="1">
        <v>2.8508599999999999</v>
      </c>
      <c r="L18" s="1">
        <v>0.19739499999999999</v>
      </c>
      <c r="N18" s="1">
        <v>12.181900000000001</v>
      </c>
      <c r="O18" s="1">
        <v>0.15876399999999999</v>
      </c>
      <c r="Q18" s="1">
        <v>11.3575</v>
      </c>
      <c r="R18" s="1">
        <v>0.16236999999999999</v>
      </c>
      <c r="AE18" s="1">
        <v>1.7107600000000001</v>
      </c>
      <c r="AF18" s="1">
        <v>0.206009</v>
      </c>
      <c r="AH18" s="1">
        <v>2.4801500000000001</v>
      </c>
      <c r="AI18" s="1">
        <v>0.19931499999999999</v>
      </c>
      <c r="AK18" s="1">
        <v>1.8577399999999999</v>
      </c>
      <c r="AL18" s="1">
        <v>0.20613200000000001</v>
      </c>
      <c r="AN18" s="1">
        <v>1.2962199999999999</v>
      </c>
      <c r="AO18" s="1">
        <v>0.20630999999999999</v>
      </c>
      <c r="AQ18" s="1">
        <v>2.3829699999999998</v>
      </c>
      <c r="AR18" s="1">
        <v>0.20292199999999999</v>
      </c>
    </row>
    <row r="19" spans="2:44" x14ac:dyDescent="0.35">
      <c r="B19" s="1">
        <v>27.8125</v>
      </c>
      <c r="C19" s="1">
        <v>3.8865700000000003E-2</v>
      </c>
      <c r="E19" s="1">
        <v>14.901</v>
      </c>
      <c r="F19" s="1">
        <v>4.3037100000000002E-2</v>
      </c>
      <c r="H19" s="1">
        <v>2.5670899999999999</v>
      </c>
      <c r="I19" s="1">
        <v>0.204681</v>
      </c>
      <c r="K19" s="1">
        <v>3.0959099999999999</v>
      </c>
      <c r="L19" s="1">
        <v>0.20225299999999999</v>
      </c>
      <c r="N19" s="55">
        <v>18.569800000000001</v>
      </c>
      <c r="O19" s="55">
        <v>0.160165</v>
      </c>
      <c r="Q19" s="55">
        <v>14.766</v>
      </c>
      <c r="R19" s="55">
        <v>0.163803</v>
      </c>
      <c r="AE19" s="1">
        <v>1.42164</v>
      </c>
      <c r="AF19" s="1">
        <v>0.20644100000000001</v>
      </c>
      <c r="AH19" s="1">
        <v>2.2640799999999999</v>
      </c>
      <c r="AI19" s="1">
        <v>0.20408200000000001</v>
      </c>
      <c r="AK19" s="1">
        <v>1.5764100000000001</v>
      </c>
      <c r="AL19" s="1">
        <v>0.20666499999999999</v>
      </c>
      <c r="AN19" s="55">
        <v>1.0387900000000001</v>
      </c>
      <c r="AO19" s="55">
        <v>0.20635899999999999</v>
      </c>
      <c r="AQ19" s="1">
        <v>2.21441</v>
      </c>
      <c r="AR19" s="1">
        <v>0.20490900000000001</v>
      </c>
    </row>
    <row r="20" spans="2:44" x14ac:dyDescent="0.35">
      <c r="B20" s="1">
        <v>32.968299999999999</v>
      </c>
      <c r="C20" s="1">
        <v>3.6612800000000001E-2</v>
      </c>
      <c r="E20" s="1">
        <v>16.935400000000001</v>
      </c>
      <c r="F20" s="1">
        <v>4.1751999999999997E-2</v>
      </c>
      <c r="H20" s="1">
        <v>2.4052899999999999</v>
      </c>
      <c r="I20" s="1">
        <v>0.20635000000000001</v>
      </c>
      <c r="K20" s="1">
        <v>3.3271799999999998</v>
      </c>
      <c r="L20" s="1">
        <v>0.206757</v>
      </c>
      <c r="N20" s="1">
        <v>28.1785</v>
      </c>
      <c r="O20" s="1">
        <v>0.15538399999999999</v>
      </c>
      <c r="Q20" s="1">
        <v>18.155799999999999</v>
      </c>
      <c r="R20" s="1">
        <v>0.162434</v>
      </c>
      <c r="AE20" s="55">
        <v>1.11415</v>
      </c>
      <c r="AF20" s="55">
        <v>0.206618</v>
      </c>
      <c r="AH20" s="1">
        <v>1.7625999999999999</v>
      </c>
      <c r="AI20" s="1">
        <v>0.20655200000000001</v>
      </c>
      <c r="AK20" s="55">
        <v>1.26624</v>
      </c>
      <c r="AL20" s="55">
        <v>0.206821</v>
      </c>
      <c r="AN20" s="1">
        <v>0.77249599999999996</v>
      </c>
      <c r="AO20" s="1">
        <v>0.20626700000000001</v>
      </c>
      <c r="AQ20" s="1">
        <v>1.81046</v>
      </c>
      <c r="AR20" s="1">
        <v>0.20666799999999999</v>
      </c>
    </row>
    <row r="21" spans="2:44" x14ac:dyDescent="0.35">
      <c r="B21" s="1">
        <v>38.526499999999999</v>
      </c>
      <c r="C21" s="1">
        <v>3.4152099999999998E-2</v>
      </c>
      <c r="E21" s="1">
        <v>19.049099999999999</v>
      </c>
      <c r="F21" s="1">
        <v>4.0267600000000001E-2</v>
      </c>
      <c r="H21" s="1">
        <v>2.17666</v>
      </c>
      <c r="I21" s="1">
        <v>0.20743800000000001</v>
      </c>
      <c r="K21" s="1">
        <v>3.63</v>
      </c>
      <c r="L21" s="1">
        <v>0.21294299999999999</v>
      </c>
      <c r="N21" s="1">
        <v>42.520600000000002</v>
      </c>
      <c r="O21" s="1">
        <v>0.145399</v>
      </c>
      <c r="Q21" s="1">
        <v>21.538</v>
      </c>
      <c r="R21" s="1">
        <v>0.15991</v>
      </c>
      <c r="AE21" s="1">
        <v>0.60356399999999999</v>
      </c>
      <c r="AF21" s="1">
        <v>0.20647799999999999</v>
      </c>
      <c r="AH21" s="55">
        <v>0.99752300000000005</v>
      </c>
      <c r="AI21" s="55">
        <v>0.207097</v>
      </c>
      <c r="AK21" s="1">
        <v>0.93445199999999995</v>
      </c>
      <c r="AL21" s="1">
        <v>0.20676600000000001</v>
      </c>
      <c r="AN21" s="1">
        <v>0.49703000000000003</v>
      </c>
      <c r="AO21" s="1">
        <v>0.20609</v>
      </c>
      <c r="AQ21" s="1">
        <v>1.5325599999999999</v>
      </c>
      <c r="AR21" s="1">
        <v>0.207119</v>
      </c>
    </row>
    <row r="22" spans="2:44" x14ac:dyDescent="0.35">
      <c r="B22" s="1">
        <v>39.853700000000003</v>
      </c>
      <c r="C22" s="1">
        <v>3.3564799999999999E-2</v>
      </c>
      <c r="E22" s="1">
        <v>21.0868</v>
      </c>
      <c r="F22" s="1">
        <v>3.8756899999999997E-2</v>
      </c>
      <c r="H22" s="55">
        <v>1.71699</v>
      </c>
      <c r="I22" s="55">
        <v>0.20817099999999999</v>
      </c>
      <c r="K22" s="1">
        <v>3.9327899999999998</v>
      </c>
      <c r="L22" s="1">
        <v>0.22112599999999999</v>
      </c>
      <c r="N22" s="1">
        <v>56.922800000000002</v>
      </c>
      <c r="O22" s="1">
        <v>0.13461899999999999</v>
      </c>
      <c r="Q22" s="1">
        <v>24.913599999999999</v>
      </c>
      <c r="R22" s="1">
        <v>0.156808</v>
      </c>
      <c r="AE22" s="1">
        <v>6.0549199999999997E-2</v>
      </c>
      <c r="AF22" s="1">
        <v>0.206036</v>
      </c>
      <c r="AH22" s="1">
        <v>2.5407099999999998E-2</v>
      </c>
      <c r="AI22" s="1">
        <v>0.20624000000000001</v>
      </c>
      <c r="AK22" s="1">
        <v>0.39558300000000002</v>
      </c>
      <c r="AL22" s="1">
        <v>0.20635700000000001</v>
      </c>
      <c r="AN22" s="1">
        <v>6.4744399999999994E-2</v>
      </c>
      <c r="AO22" s="1">
        <v>0.20566499999999999</v>
      </c>
      <c r="AQ22" s="55">
        <v>1.0581199999999999</v>
      </c>
      <c r="AR22" s="55">
        <v>0.207316</v>
      </c>
    </row>
    <row r="23" spans="2:44" x14ac:dyDescent="0.35">
      <c r="B23" s="1">
        <v>41.180599999999998</v>
      </c>
      <c r="C23" s="1">
        <v>3.2970899999999997E-2</v>
      </c>
      <c r="E23" s="1">
        <v>23.108599999999999</v>
      </c>
      <c r="F23" s="1">
        <v>3.7200299999999999E-2</v>
      </c>
      <c r="H23" s="1">
        <v>1.16388</v>
      </c>
      <c r="I23" s="1">
        <v>0.208095</v>
      </c>
      <c r="K23" s="1">
        <v>4.0534499999999998</v>
      </c>
      <c r="L23" s="1">
        <v>0.22550999999999999</v>
      </c>
      <c r="N23" s="1">
        <v>60.517699999999998</v>
      </c>
      <c r="O23" s="1">
        <v>0.13189200000000001</v>
      </c>
      <c r="Q23" s="1">
        <v>28.279599999999999</v>
      </c>
      <c r="R23" s="1">
        <v>0.15332699999999999</v>
      </c>
      <c r="AE23" s="1">
        <v>-0.50795299999999999</v>
      </c>
      <c r="AF23" s="1">
        <v>0.205344</v>
      </c>
      <c r="AH23" s="1">
        <v>-1.11076</v>
      </c>
      <c r="AI23" s="1">
        <v>0.204401</v>
      </c>
      <c r="AK23" s="1">
        <v>-0.167852</v>
      </c>
      <c r="AL23" s="1">
        <v>0.205711</v>
      </c>
      <c r="AN23" s="1">
        <v>-0.633135</v>
      </c>
      <c r="AO23" s="1">
        <v>0.20474200000000001</v>
      </c>
      <c r="AQ23" s="1">
        <v>0.128418</v>
      </c>
      <c r="AR23" s="1">
        <v>0.206486</v>
      </c>
    </row>
    <row r="24" spans="2:44" x14ac:dyDescent="0.35">
      <c r="B24" s="1">
        <v>43.168799999999997</v>
      </c>
      <c r="C24" s="1">
        <v>3.2063500000000002E-2</v>
      </c>
      <c r="E24" s="1">
        <v>25.136099999999999</v>
      </c>
      <c r="F24" s="1">
        <v>3.5599199999999998E-2</v>
      </c>
      <c r="H24" s="1">
        <v>0.54961000000000004</v>
      </c>
      <c r="I24" s="1">
        <v>0.207401</v>
      </c>
      <c r="K24" s="1">
        <v>4.0652499999999998</v>
      </c>
      <c r="L24" s="1">
        <v>0.227682</v>
      </c>
      <c r="N24" s="1">
        <v>64.100099999999998</v>
      </c>
      <c r="O24" s="1">
        <v>0.12903800000000001</v>
      </c>
      <c r="Q24" s="1">
        <v>33.289900000000003</v>
      </c>
      <c r="R24" s="1">
        <v>0.14731</v>
      </c>
      <c r="AE24" s="1">
        <v>-1.1010800000000001</v>
      </c>
      <c r="AF24" s="1">
        <v>0.20438600000000001</v>
      </c>
      <c r="AH24" s="1">
        <v>-2.0857800000000002</v>
      </c>
      <c r="AI24" s="1">
        <v>0.202569</v>
      </c>
      <c r="AK24" s="1">
        <v>-0.75060099999999996</v>
      </c>
      <c r="AL24" s="1">
        <v>0.20488700000000001</v>
      </c>
      <c r="AN24" s="1">
        <v>-1.34924</v>
      </c>
      <c r="AO24" s="1">
        <v>0.20358699999999999</v>
      </c>
      <c r="AQ24" s="1">
        <v>-1.0021100000000001</v>
      </c>
      <c r="AR24" s="1">
        <v>0.20469399999999999</v>
      </c>
    </row>
    <row r="25" spans="2:44" x14ac:dyDescent="0.35">
      <c r="B25" s="1">
        <v>46.148000000000003</v>
      </c>
      <c r="C25" s="1">
        <v>3.06775E-2</v>
      </c>
      <c r="E25" s="1">
        <v>27.153099999999998</v>
      </c>
      <c r="F25" s="1">
        <v>3.3983800000000002E-2</v>
      </c>
      <c r="H25" s="1">
        <v>-0.100202</v>
      </c>
      <c r="I25" s="1">
        <v>0.206284</v>
      </c>
      <c r="K25" s="1">
        <v>4.0578599999999998</v>
      </c>
      <c r="L25" s="1">
        <v>0.22883100000000001</v>
      </c>
      <c r="N25" s="1">
        <v>69.467200000000005</v>
      </c>
      <c r="O25" s="1">
        <v>0.124655</v>
      </c>
      <c r="Q25" s="1">
        <v>38.2714</v>
      </c>
      <c r="R25" s="1">
        <v>0.14083300000000001</v>
      </c>
      <c r="AE25" s="1">
        <v>-1.70651</v>
      </c>
      <c r="AF25" s="1">
        <v>0.20330699999999999</v>
      </c>
      <c r="AH25" s="1">
        <v>-3.0685500000000001</v>
      </c>
      <c r="AI25" s="1">
        <v>0.20052</v>
      </c>
      <c r="AK25" s="1">
        <v>-1.3512500000000001</v>
      </c>
      <c r="AL25" s="1">
        <v>0.203879</v>
      </c>
      <c r="AN25" s="1">
        <v>-2.0839799999999999</v>
      </c>
      <c r="AO25" s="1">
        <v>0.20219400000000001</v>
      </c>
      <c r="AQ25" s="1">
        <v>-1.9961100000000001</v>
      </c>
      <c r="AR25" s="1">
        <v>0.202843</v>
      </c>
    </row>
    <row r="26" spans="2:44" x14ac:dyDescent="0.35">
      <c r="B26" s="1">
        <v>49.124699999999997</v>
      </c>
      <c r="C26" s="1">
        <v>2.92854E-2</v>
      </c>
      <c r="E26" s="1">
        <v>29.086300000000001</v>
      </c>
      <c r="F26" s="1">
        <v>3.2454400000000001E-2</v>
      </c>
      <c r="H26" s="1">
        <v>-0.76967600000000003</v>
      </c>
      <c r="I26" s="1">
        <v>0.20491899999999999</v>
      </c>
      <c r="K26" s="1">
        <v>4.0314399999999999</v>
      </c>
      <c r="L26" s="1">
        <v>0.23046</v>
      </c>
      <c r="N26" s="1">
        <v>77.521299999999997</v>
      </c>
      <c r="O26" s="1">
        <v>0.118217</v>
      </c>
      <c r="Q26" s="1">
        <v>43.234200000000001</v>
      </c>
      <c r="R26" s="1">
        <v>0.13420499999999999</v>
      </c>
      <c r="AE26" s="1">
        <v>-2.32315</v>
      </c>
      <c r="AF26" s="1">
        <v>0.20211200000000001</v>
      </c>
      <c r="AH26" s="1">
        <v>-4.0576999999999996</v>
      </c>
      <c r="AI26" s="1">
        <v>0.19827500000000001</v>
      </c>
      <c r="AK26" s="1">
        <v>-1.9655100000000001</v>
      </c>
      <c r="AL26" s="1">
        <v>0.20272100000000001</v>
      </c>
      <c r="AN26" s="1">
        <v>-2.8294999999999999</v>
      </c>
      <c r="AO26" s="1">
        <v>0.20061300000000001</v>
      </c>
      <c r="AQ26" s="1">
        <v>-2.97655</v>
      </c>
      <c r="AR26" s="1">
        <v>0.20086200000000001</v>
      </c>
    </row>
    <row r="27" spans="2:44" x14ac:dyDescent="0.35">
      <c r="B27" s="1">
        <v>52.101599999999998</v>
      </c>
      <c r="C27" s="1">
        <v>2.7898099999999999E-2</v>
      </c>
      <c r="E27" s="1">
        <v>30.727699999999999</v>
      </c>
      <c r="F27" s="1">
        <v>3.1190900000000001E-2</v>
      </c>
      <c r="H27" s="1">
        <v>-1.44936</v>
      </c>
      <c r="I27" s="1">
        <v>0.203434</v>
      </c>
      <c r="K27" s="1">
        <v>3.90577</v>
      </c>
      <c r="L27" s="1">
        <v>0.23102900000000001</v>
      </c>
      <c r="N27" s="1">
        <v>85.582400000000007</v>
      </c>
      <c r="O27" s="1">
        <v>0.111953</v>
      </c>
      <c r="Q27" s="1">
        <v>48.168399999999998</v>
      </c>
      <c r="R27" s="1">
        <v>0.127501</v>
      </c>
      <c r="AE27" s="1">
        <v>-2.9484699999999999</v>
      </c>
      <c r="AF27" s="1">
        <v>0.200824</v>
      </c>
      <c r="AH27" s="1">
        <v>-5.0469200000000001</v>
      </c>
      <c r="AI27" s="1">
        <v>0.19583700000000001</v>
      </c>
      <c r="AK27" s="1">
        <v>-2.5905</v>
      </c>
      <c r="AL27" s="1">
        <v>0.20143</v>
      </c>
      <c r="AN27" s="1">
        <v>-3.58033</v>
      </c>
      <c r="AO27" s="1">
        <v>0.19897200000000001</v>
      </c>
      <c r="AQ27" s="1">
        <v>-3.9592999999999998</v>
      </c>
      <c r="AR27" s="1">
        <v>0.19867499999999999</v>
      </c>
    </row>
    <row r="28" spans="2:44" x14ac:dyDescent="0.35">
      <c r="B28" s="1">
        <v>55.078699999999998</v>
      </c>
      <c r="C28" s="1">
        <v>2.6527999999999999E-2</v>
      </c>
      <c r="E28" s="1">
        <v>32.758899999999997</v>
      </c>
      <c r="F28" s="1">
        <v>2.9684700000000001E-2</v>
      </c>
      <c r="H28" s="1">
        <v>-2.1320899999999998</v>
      </c>
      <c r="I28" s="1">
        <v>0.20197200000000001</v>
      </c>
      <c r="K28" s="1">
        <v>3.8258800000000002</v>
      </c>
      <c r="L28" s="1">
        <v>0.232236</v>
      </c>
      <c r="N28" s="1">
        <v>93.650099999999995</v>
      </c>
      <c r="O28" s="1">
        <v>0.10582800000000001</v>
      </c>
      <c r="Q28" s="1">
        <v>53.072499999999998</v>
      </c>
      <c r="R28" s="1">
        <v>0.120813</v>
      </c>
      <c r="AE28" s="1">
        <v>-3.5820699999999999</v>
      </c>
      <c r="AF28" s="1">
        <v>0.199436</v>
      </c>
      <c r="AH28" s="1">
        <v>-6.04331</v>
      </c>
      <c r="AI28" s="1">
        <v>0.19322500000000001</v>
      </c>
      <c r="AK28" s="1">
        <v>-3.2258200000000001</v>
      </c>
      <c r="AL28" s="1">
        <v>0.199988</v>
      </c>
      <c r="AN28" s="1">
        <v>-4.3401800000000001</v>
      </c>
      <c r="AO28" s="1">
        <v>0.19730800000000001</v>
      </c>
      <c r="AQ28" s="1">
        <v>-4.9453199999999997</v>
      </c>
      <c r="AR28" s="1">
        <v>0.19628200000000001</v>
      </c>
    </row>
    <row r="29" spans="2:44" x14ac:dyDescent="0.35">
      <c r="B29" s="1">
        <v>58.058399999999999</v>
      </c>
      <c r="C29" s="1">
        <v>2.5206800000000001E-2</v>
      </c>
      <c r="E29" s="1">
        <v>34.659199999999998</v>
      </c>
      <c r="F29" s="1">
        <v>2.8373900000000001E-2</v>
      </c>
      <c r="H29" s="1">
        <v>-2.8172000000000001</v>
      </c>
      <c r="I29" s="1">
        <v>0.20060600000000001</v>
      </c>
      <c r="K29" s="1">
        <v>3.7189899999999998</v>
      </c>
      <c r="L29" s="1">
        <v>0.23319999999999999</v>
      </c>
      <c r="N29" s="1">
        <v>101.724</v>
      </c>
      <c r="O29" s="1">
        <v>9.9813899999999997E-2</v>
      </c>
      <c r="Q29" s="1">
        <v>57.981499999999997</v>
      </c>
      <c r="R29" s="1">
        <v>0.114456</v>
      </c>
      <c r="AE29" s="1">
        <v>-4.2230800000000004</v>
      </c>
      <c r="AF29" s="1">
        <v>0.19799800000000001</v>
      </c>
      <c r="AH29" s="1">
        <v>-7.04915</v>
      </c>
      <c r="AI29" s="1">
        <v>0.19054299999999999</v>
      </c>
      <c r="AK29" s="1">
        <v>-3.8699699999999999</v>
      </c>
      <c r="AL29" s="1">
        <v>0.19841700000000001</v>
      </c>
      <c r="AN29" s="1">
        <v>-5.1099199999999998</v>
      </c>
      <c r="AO29" s="1">
        <v>0.19559099999999999</v>
      </c>
      <c r="AQ29" s="1">
        <v>-5.9361100000000002</v>
      </c>
      <c r="AR29" s="1">
        <v>0.19369900000000001</v>
      </c>
    </row>
    <row r="30" spans="2:44" x14ac:dyDescent="0.35">
      <c r="B30" s="1">
        <v>61.041600000000003</v>
      </c>
      <c r="C30" s="1">
        <v>2.3975E-2</v>
      </c>
      <c r="E30" s="1">
        <v>36.616599999999998</v>
      </c>
      <c r="F30" s="1">
        <v>2.71636E-2</v>
      </c>
      <c r="H30" s="1">
        <v>-3.5032199999999998</v>
      </c>
      <c r="I30" s="1">
        <v>0.19936100000000001</v>
      </c>
      <c r="K30" s="55">
        <v>3.4744600000000001</v>
      </c>
      <c r="L30" s="55">
        <v>0.233708</v>
      </c>
      <c r="N30" s="1">
        <v>109.804</v>
      </c>
      <c r="O30" s="1">
        <v>9.3881699999999998E-2</v>
      </c>
      <c r="Q30" s="1">
        <v>62.927100000000003</v>
      </c>
      <c r="R30" s="1">
        <v>0.10891199999999999</v>
      </c>
      <c r="AE30" s="1">
        <v>-4.8726599999999998</v>
      </c>
      <c r="AF30" s="1">
        <v>0.19649</v>
      </c>
      <c r="AH30" s="1">
        <v>-8.0691900000000008</v>
      </c>
      <c r="AI30" s="1">
        <v>0.18781999999999999</v>
      </c>
      <c r="AK30" s="1">
        <v>-4.5224399999999996</v>
      </c>
      <c r="AL30" s="1">
        <v>0.19673299999999999</v>
      </c>
      <c r="AN30" s="1">
        <v>-5.8934699999999998</v>
      </c>
      <c r="AO30" s="1">
        <v>0.193769</v>
      </c>
      <c r="AQ30" s="1">
        <v>-6.9398299999999997</v>
      </c>
      <c r="AR30" s="1">
        <v>0.19096199999999999</v>
      </c>
    </row>
    <row r="31" spans="2:44" x14ac:dyDescent="0.35">
      <c r="B31" s="1">
        <v>64.029700000000005</v>
      </c>
      <c r="C31" s="1">
        <v>2.2869500000000001E-2</v>
      </c>
      <c r="E31" s="1">
        <v>38.617100000000001</v>
      </c>
      <c r="F31" s="1">
        <v>2.61044E-2</v>
      </c>
      <c r="H31" s="1">
        <v>-4.1935900000000004</v>
      </c>
      <c r="I31" s="1">
        <v>0.19819000000000001</v>
      </c>
      <c r="K31" s="1">
        <v>3.15334</v>
      </c>
      <c r="L31" s="1">
        <v>0.23287099999999999</v>
      </c>
      <c r="N31" s="1">
        <v>117.892</v>
      </c>
      <c r="O31" s="1">
        <v>8.8020000000000001E-2</v>
      </c>
      <c r="Q31" s="1">
        <v>67.923599999999993</v>
      </c>
      <c r="R31" s="1">
        <v>0.104464</v>
      </c>
      <c r="AE31" s="1">
        <v>-5.5310800000000002</v>
      </c>
      <c r="AF31" s="1">
        <v>0.19489799999999999</v>
      </c>
      <c r="AH31" s="1">
        <v>-9.0984400000000001</v>
      </c>
      <c r="AI31" s="1">
        <v>0.18512300000000001</v>
      </c>
      <c r="AK31" s="1">
        <v>-5.1816700000000004</v>
      </c>
      <c r="AL31" s="1">
        <v>0.19498699999999999</v>
      </c>
      <c r="AN31" s="1">
        <v>-6.69217</v>
      </c>
      <c r="AO31" s="1">
        <v>0.191778</v>
      </c>
      <c r="AQ31" s="1">
        <v>-7.9574199999999999</v>
      </c>
      <c r="AR31" s="1">
        <v>0.188143</v>
      </c>
    </row>
    <row r="32" spans="2:44" x14ac:dyDescent="0.35">
      <c r="B32" s="1">
        <v>67.022000000000006</v>
      </c>
      <c r="C32" s="1">
        <v>2.1920499999999999E-2</v>
      </c>
      <c r="E32" s="1">
        <v>40.646999999999998</v>
      </c>
      <c r="F32" s="1">
        <v>2.52299E-2</v>
      </c>
      <c r="H32" s="1">
        <v>-4.8892600000000002</v>
      </c>
      <c r="I32" s="1">
        <v>0.19711400000000001</v>
      </c>
      <c r="K32" s="1">
        <v>2.8439700000000001</v>
      </c>
      <c r="L32" s="1">
        <v>0.231632</v>
      </c>
      <c r="N32" s="1">
        <v>125.997</v>
      </c>
      <c r="O32" s="1">
        <v>8.2369499999999998E-2</v>
      </c>
      <c r="Q32" s="1">
        <v>72.979699999999994</v>
      </c>
      <c r="R32" s="1">
        <v>0.101204</v>
      </c>
      <c r="AE32" s="1">
        <v>-6.1991899999999998</v>
      </c>
      <c r="AF32" s="1">
        <v>0.19320300000000001</v>
      </c>
      <c r="AH32" s="1">
        <v>-10.1386</v>
      </c>
      <c r="AI32" s="1">
        <v>0.18252099999999999</v>
      </c>
      <c r="AK32" s="1">
        <v>-5.8473699999999997</v>
      </c>
      <c r="AL32" s="1">
        <v>0.193222</v>
      </c>
      <c r="AN32" s="1">
        <v>-7.5044399999999998</v>
      </c>
      <c r="AO32" s="1">
        <v>0.189582</v>
      </c>
      <c r="AQ32" s="1">
        <v>-8.9867399999999993</v>
      </c>
      <c r="AR32" s="1">
        <v>0.18532899999999999</v>
      </c>
    </row>
    <row r="33" spans="2:44" x14ac:dyDescent="0.35">
      <c r="B33" s="1">
        <v>70.018299999999996</v>
      </c>
      <c r="C33" s="1">
        <v>2.1151799999999998E-2</v>
      </c>
      <c r="E33" s="1">
        <v>42.699599999999997</v>
      </c>
      <c r="F33" s="1">
        <v>2.4563600000000001E-2</v>
      </c>
      <c r="H33" s="1">
        <v>-5.59476</v>
      </c>
      <c r="I33" s="1">
        <v>0.19600799999999999</v>
      </c>
      <c r="K33" s="1">
        <v>2.5434000000000001</v>
      </c>
      <c r="L33" s="1">
        <v>0.23045399999999999</v>
      </c>
      <c r="N33" s="1">
        <v>134.12100000000001</v>
      </c>
      <c r="O33" s="1">
        <v>7.7296299999999998E-2</v>
      </c>
      <c r="Q33" s="1">
        <v>78.0839</v>
      </c>
      <c r="R33" s="1">
        <v>9.8571599999999995E-2</v>
      </c>
      <c r="AE33" s="1">
        <v>-6.8765499999999999</v>
      </c>
      <c r="AF33" s="1">
        <v>0.191388</v>
      </c>
      <c r="AH33" s="1">
        <v>-11.182600000000001</v>
      </c>
      <c r="AI33" s="1">
        <v>0.18013899999999999</v>
      </c>
      <c r="AK33" s="1">
        <v>-6.5187200000000001</v>
      </c>
      <c r="AL33" s="1">
        <v>0.191465</v>
      </c>
      <c r="AN33" s="1">
        <v>-8.3269400000000005</v>
      </c>
      <c r="AO33" s="1">
        <v>0.187278</v>
      </c>
      <c r="AQ33" s="1">
        <v>-10.025399999999999</v>
      </c>
      <c r="AR33" s="1">
        <v>0.18265700000000001</v>
      </c>
    </row>
    <row r="34" spans="2:44" x14ac:dyDescent="0.35">
      <c r="B34" s="1">
        <v>73.018600000000006</v>
      </c>
      <c r="C34" s="1">
        <v>2.0579799999999999E-2</v>
      </c>
      <c r="E34" s="1">
        <v>44.773000000000003</v>
      </c>
      <c r="F34" s="1">
        <v>2.41117E-2</v>
      </c>
      <c r="H34" s="1">
        <v>-6.3136200000000002</v>
      </c>
      <c r="I34" s="1">
        <v>0.19475999999999999</v>
      </c>
      <c r="K34" s="1">
        <v>2.2291699999999999</v>
      </c>
      <c r="L34" s="1">
        <v>0.228154</v>
      </c>
      <c r="N34" s="1">
        <v>142.267</v>
      </c>
      <c r="O34" s="1">
        <v>7.3190900000000003E-2</v>
      </c>
      <c r="Q34" s="1">
        <v>83.235399999999998</v>
      </c>
      <c r="R34" s="1">
        <v>9.6654599999999993E-2</v>
      </c>
      <c r="AE34" s="1">
        <v>-7.9025699999999999</v>
      </c>
      <c r="AF34" s="1">
        <v>0.188474</v>
      </c>
      <c r="AH34" s="1">
        <v>-12.228</v>
      </c>
      <c r="AI34" s="1">
        <v>0.17810300000000001</v>
      </c>
      <c r="AK34" s="1">
        <v>-7.19658</v>
      </c>
      <c r="AL34" s="1">
        <v>0.18970000000000001</v>
      </c>
      <c r="AN34" s="1">
        <v>-9.1553100000000001</v>
      </c>
      <c r="AO34" s="1">
        <v>0.18496599999999999</v>
      </c>
      <c r="AQ34" s="1">
        <v>-11.065899999999999</v>
      </c>
      <c r="AR34" s="1">
        <v>0.18029000000000001</v>
      </c>
    </row>
    <row r="35" spans="2:44" x14ac:dyDescent="0.35">
      <c r="B35" s="1">
        <v>76.023499999999999</v>
      </c>
      <c r="C35" s="1">
        <v>2.0176199999999998E-2</v>
      </c>
      <c r="E35" s="1">
        <v>46.863700000000001</v>
      </c>
      <c r="F35" s="1">
        <v>2.3885099999999999E-2</v>
      </c>
      <c r="H35" s="1">
        <v>-7.0476799999999997</v>
      </c>
      <c r="I35" s="1">
        <v>0.19328400000000001</v>
      </c>
      <c r="K35" s="1">
        <v>1.9481200000000001</v>
      </c>
      <c r="L35" s="1">
        <v>0.22766400000000001</v>
      </c>
      <c r="N35" s="1">
        <v>150.43700000000001</v>
      </c>
      <c r="O35" s="1">
        <v>7.0446800000000004E-2</v>
      </c>
      <c r="Q35" s="1">
        <v>88.439499999999995</v>
      </c>
      <c r="R35" s="1">
        <v>9.5517099999999994E-2</v>
      </c>
      <c r="AE35" s="1">
        <v>-8.9408100000000008</v>
      </c>
      <c r="AF35" s="1">
        <v>0.185503</v>
      </c>
      <c r="AH35" s="1">
        <v>-13.272399999999999</v>
      </c>
      <c r="AI35" s="1">
        <v>0.17651700000000001</v>
      </c>
      <c r="AK35" s="1">
        <v>-7.8798399999999997</v>
      </c>
      <c r="AL35" s="1">
        <v>0.187942</v>
      </c>
      <c r="AN35" s="1">
        <v>-9.9875100000000003</v>
      </c>
      <c r="AO35" s="1">
        <v>0.18276100000000001</v>
      </c>
      <c r="AQ35" s="1">
        <v>-12.108700000000001</v>
      </c>
      <c r="AR35" s="1">
        <v>0.17832899999999999</v>
      </c>
    </row>
    <row r="36" spans="2:44" x14ac:dyDescent="0.35">
      <c r="B36" s="1">
        <v>80.535200000000003</v>
      </c>
      <c r="C36" s="1">
        <v>1.96566E-2</v>
      </c>
      <c r="E36" s="1">
        <v>48.966099999999997</v>
      </c>
      <c r="F36" s="1">
        <v>2.3843799999999998E-2</v>
      </c>
      <c r="H36" s="1">
        <v>-7.7972700000000001</v>
      </c>
      <c r="I36" s="1">
        <v>0.19153800000000001</v>
      </c>
      <c r="K36" s="1">
        <v>1.7025300000000001</v>
      </c>
      <c r="L36" s="1">
        <v>0.22775100000000001</v>
      </c>
      <c r="N36" s="1">
        <v>152.46799999999999</v>
      </c>
      <c r="O36" s="1">
        <v>7.0013699999999998E-2</v>
      </c>
      <c r="Q36" s="1">
        <v>93.691000000000003</v>
      </c>
      <c r="R36" s="1">
        <v>9.4894099999999995E-2</v>
      </c>
      <c r="AE36" s="1">
        <v>-9.9837799999999994</v>
      </c>
      <c r="AF36" s="1">
        <v>0.18267</v>
      </c>
      <c r="AH36" s="1">
        <v>-14.312799999999999</v>
      </c>
      <c r="AI36" s="1">
        <v>0.17544499999999999</v>
      </c>
      <c r="AK36" s="1">
        <v>-8.5681700000000003</v>
      </c>
      <c r="AL36" s="1">
        <v>0.186194</v>
      </c>
      <c r="AN36" s="1">
        <v>-10.819900000000001</v>
      </c>
      <c r="AO36" s="1">
        <v>0.18077199999999999</v>
      </c>
      <c r="AQ36" s="1">
        <v>-12.696199999999999</v>
      </c>
      <c r="AR36" s="1">
        <v>0.17744799999999999</v>
      </c>
    </row>
    <row r="37" spans="2:44" x14ac:dyDescent="0.35">
      <c r="B37" s="1">
        <v>85.058800000000005</v>
      </c>
      <c r="C37" s="1">
        <v>1.91389E-2</v>
      </c>
      <c r="E37" s="1">
        <v>51.0869</v>
      </c>
      <c r="F37" s="1">
        <v>2.39224E-2</v>
      </c>
      <c r="H37" s="1">
        <v>-8.5585799999999992</v>
      </c>
      <c r="I37" s="1">
        <v>0.18957399999999999</v>
      </c>
      <c r="K37" s="1">
        <v>1.48573</v>
      </c>
      <c r="L37" s="1">
        <v>0.228329</v>
      </c>
      <c r="N37" s="1">
        <v>154.51499999999999</v>
      </c>
      <c r="O37" s="1">
        <v>6.9683999999999996E-2</v>
      </c>
      <c r="Q37" s="1">
        <v>98.985799999999998</v>
      </c>
      <c r="R37" s="1">
        <v>9.4582799999999995E-2</v>
      </c>
      <c r="AE37" s="1">
        <v>-11.029299999999999</v>
      </c>
      <c r="AF37" s="1">
        <v>0.18013899999999999</v>
      </c>
      <c r="AH37" s="1">
        <v>-15.348000000000001</v>
      </c>
      <c r="AI37" s="1">
        <v>0.17493900000000001</v>
      </c>
      <c r="AK37" s="1">
        <v>-9.2612299999999994</v>
      </c>
      <c r="AL37" s="1">
        <v>0.18446599999999999</v>
      </c>
      <c r="AN37" s="1">
        <v>-11.6525</v>
      </c>
      <c r="AO37" s="1">
        <v>0.17904500000000001</v>
      </c>
      <c r="AQ37" s="1">
        <v>-13.576499999999999</v>
      </c>
      <c r="AR37" s="1">
        <v>0.176403</v>
      </c>
    </row>
    <row r="38" spans="2:44" x14ac:dyDescent="0.35">
      <c r="B38" s="1">
        <v>89.589799999999997</v>
      </c>
      <c r="C38" s="1">
        <v>1.89047E-2</v>
      </c>
      <c r="E38" s="1">
        <v>53.218299999999999</v>
      </c>
      <c r="F38" s="1">
        <v>2.4102599999999998E-2</v>
      </c>
      <c r="H38" s="1">
        <v>-9.3294499999999996</v>
      </c>
      <c r="I38" s="1">
        <v>0.187446</v>
      </c>
      <c r="K38" s="1">
        <v>1.2999499999999999</v>
      </c>
      <c r="L38" s="1">
        <v>0.22947000000000001</v>
      </c>
      <c r="N38" s="1">
        <v>157.59</v>
      </c>
      <c r="O38" s="1">
        <v>6.9394999999999998E-2</v>
      </c>
      <c r="Q38" s="1">
        <v>104.321</v>
      </c>
      <c r="R38" s="1">
        <v>9.4587299999999999E-2</v>
      </c>
      <c r="AE38" s="1">
        <v>-12.076000000000001</v>
      </c>
      <c r="AF38" s="1">
        <v>0.17802499999999999</v>
      </c>
      <c r="AH38" s="1">
        <v>-16.3733</v>
      </c>
      <c r="AI38" s="1">
        <v>0.175071</v>
      </c>
      <c r="AK38" s="1">
        <v>-9.95763</v>
      </c>
      <c r="AL38" s="1">
        <v>0.18279899999999999</v>
      </c>
      <c r="AN38" s="1">
        <v>-12.4838</v>
      </c>
      <c r="AO38" s="1">
        <v>0.177618</v>
      </c>
      <c r="AQ38" s="1">
        <v>-14.819599999999999</v>
      </c>
      <c r="AR38" s="1">
        <v>0.17560200000000001</v>
      </c>
    </row>
    <row r="39" spans="2:44" x14ac:dyDescent="0.35">
      <c r="B39" s="1">
        <v>93.763499999999993</v>
      </c>
      <c r="C39" s="1">
        <v>1.9008000000000001E-2</v>
      </c>
      <c r="E39" s="1">
        <v>55.360399999999998</v>
      </c>
      <c r="F39" s="1">
        <v>2.4368500000000001E-2</v>
      </c>
      <c r="H39" s="1">
        <v>-10.1066</v>
      </c>
      <c r="I39" s="1">
        <v>0.18526200000000001</v>
      </c>
      <c r="K39" s="1">
        <v>1.15245</v>
      </c>
      <c r="L39" s="1">
        <v>0.23120599999999999</v>
      </c>
      <c r="N39" s="1">
        <v>162.214</v>
      </c>
      <c r="O39" s="1">
        <v>6.8749699999999997E-2</v>
      </c>
      <c r="Q39" s="1">
        <v>109.696</v>
      </c>
      <c r="R39" s="1">
        <v>9.4894099999999995E-2</v>
      </c>
    </row>
    <row r="40" spans="2:44" x14ac:dyDescent="0.35">
      <c r="B40" s="1">
        <v>98.299199999999999</v>
      </c>
      <c r="C40" s="1">
        <v>1.9503400000000001E-2</v>
      </c>
      <c r="E40" s="1">
        <v>57.5154</v>
      </c>
      <c r="F40" s="1">
        <v>2.4741800000000001E-2</v>
      </c>
      <c r="H40" s="1">
        <v>-10.886900000000001</v>
      </c>
      <c r="I40" s="1">
        <v>0.18312200000000001</v>
      </c>
      <c r="K40" s="1">
        <v>1.0265599999999999</v>
      </c>
      <c r="L40" s="1">
        <v>0.23327800000000001</v>
      </c>
      <c r="N40" s="1">
        <v>166.84800000000001</v>
      </c>
      <c r="O40" s="1">
        <v>6.8314399999999997E-2</v>
      </c>
      <c r="Q40" s="1">
        <v>115.11</v>
      </c>
      <c r="R40" s="1">
        <v>9.5492599999999997E-2</v>
      </c>
      <c r="AE40" s="1" t="s">
        <v>131</v>
      </c>
      <c r="AH40" s="1" t="s">
        <v>131</v>
      </c>
      <c r="AK40" s="1" t="s">
        <v>131</v>
      </c>
      <c r="AN40" s="1" t="s">
        <v>131</v>
      </c>
      <c r="AQ40" s="1" t="s">
        <v>131</v>
      </c>
    </row>
    <row r="41" spans="2:44" x14ac:dyDescent="0.35">
      <c r="AF41" s="1" t="s">
        <v>182</v>
      </c>
      <c r="AI41" s="1" t="s">
        <v>183</v>
      </c>
      <c r="AL41" s="1" t="s">
        <v>184</v>
      </c>
      <c r="AO41" s="1" t="s">
        <v>185</v>
      </c>
      <c r="AR41" s="1" t="s">
        <v>186</v>
      </c>
    </row>
    <row r="42" spans="2:44" x14ac:dyDescent="0.35">
      <c r="B42" s="1" t="s">
        <v>133</v>
      </c>
      <c r="E42" s="1" t="s">
        <v>133</v>
      </c>
      <c r="H42" s="1" t="s">
        <v>133</v>
      </c>
      <c r="K42" s="1" t="s">
        <v>133</v>
      </c>
      <c r="N42" s="1" t="s">
        <v>133</v>
      </c>
      <c r="AE42" s="1" t="s">
        <v>15</v>
      </c>
      <c r="AF42" s="1" t="s">
        <v>14</v>
      </c>
      <c r="AH42" s="1" t="s">
        <v>15</v>
      </c>
      <c r="AI42" s="1" t="s">
        <v>14</v>
      </c>
      <c r="AK42" s="1" t="s">
        <v>15</v>
      </c>
      <c r="AL42" s="1" t="s">
        <v>14</v>
      </c>
      <c r="AN42" s="1" t="s">
        <v>15</v>
      </c>
      <c r="AO42" s="1" t="s">
        <v>14</v>
      </c>
      <c r="AQ42" s="1" t="s">
        <v>15</v>
      </c>
      <c r="AR42" s="1" t="s">
        <v>14</v>
      </c>
    </row>
    <row r="43" spans="2:44" x14ac:dyDescent="0.35">
      <c r="C43" s="1" t="s">
        <v>182</v>
      </c>
      <c r="F43" s="1" t="s">
        <v>183</v>
      </c>
      <c r="I43" s="1" t="s">
        <v>184</v>
      </c>
      <c r="L43" s="1" t="s">
        <v>185</v>
      </c>
      <c r="O43" s="1" t="s">
        <v>186</v>
      </c>
      <c r="AE43" s="1">
        <v>0</v>
      </c>
      <c r="AF43" s="1">
        <v>0</v>
      </c>
      <c r="AH43" s="1">
        <v>0</v>
      </c>
      <c r="AI43" s="1">
        <v>0</v>
      </c>
      <c r="AK43" s="1">
        <v>0</v>
      </c>
      <c r="AL43" s="1">
        <v>0</v>
      </c>
      <c r="AN43" s="1">
        <v>0</v>
      </c>
      <c r="AO43" s="1">
        <v>0</v>
      </c>
      <c r="AQ43" s="1">
        <v>0</v>
      </c>
      <c r="AR43" s="1">
        <v>0</v>
      </c>
    </row>
    <row r="44" spans="2:44" x14ac:dyDescent="0.35">
      <c r="B44" s="1" t="s">
        <v>15</v>
      </c>
      <c r="C44" s="1" t="s">
        <v>14</v>
      </c>
      <c r="E44" s="1" t="s">
        <v>15</v>
      </c>
      <c r="F44" s="1" t="s">
        <v>14</v>
      </c>
      <c r="H44" s="1" t="s">
        <v>15</v>
      </c>
      <c r="I44" s="1" t="s">
        <v>14</v>
      </c>
      <c r="K44" s="1" t="s">
        <v>15</v>
      </c>
      <c r="L44" s="1" t="s">
        <v>14</v>
      </c>
      <c r="N44" s="1" t="s">
        <v>15</v>
      </c>
      <c r="O44" s="1" t="s">
        <v>14</v>
      </c>
      <c r="AE44" s="1">
        <v>1.2731600000000001</v>
      </c>
      <c r="AF44" s="1">
        <v>9.7876600000000001E-3</v>
      </c>
      <c r="AH44" s="1">
        <v>1.2722800000000001</v>
      </c>
      <c r="AI44" s="1">
        <v>9.7877099999999998E-3</v>
      </c>
      <c r="AK44" s="1">
        <v>1.30124</v>
      </c>
      <c r="AL44" s="1">
        <v>9.7836399999999997E-3</v>
      </c>
      <c r="AN44" s="1">
        <v>1.3001799999999999</v>
      </c>
      <c r="AO44" s="1">
        <v>9.7837299999999992E-3</v>
      </c>
      <c r="AQ44" s="1">
        <v>1.25824</v>
      </c>
      <c r="AR44" s="1">
        <v>9.7908000000000005E-3</v>
      </c>
    </row>
    <row r="45" spans="2:44" x14ac:dyDescent="0.35">
      <c r="B45" s="1">
        <v>0</v>
      </c>
      <c r="C45" s="1">
        <v>0</v>
      </c>
      <c r="E45" s="1">
        <v>0</v>
      </c>
      <c r="F45" s="1">
        <v>0</v>
      </c>
      <c r="H45" s="1">
        <v>0</v>
      </c>
      <c r="I45" s="1">
        <v>0</v>
      </c>
      <c r="K45" s="1">
        <v>0</v>
      </c>
      <c r="L45" s="1">
        <v>0</v>
      </c>
      <c r="N45" s="1">
        <v>0</v>
      </c>
      <c r="O45" s="1">
        <v>0</v>
      </c>
      <c r="AE45" s="1">
        <v>2.5453600000000001</v>
      </c>
      <c r="AF45" s="1">
        <v>1.91348E-2</v>
      </c>
      <c r="AH45" s="1">
        <v>2.54359</v>
      </c>
      <c r="AI45" s="1">
        <v>1.9134999999999999E-2</v>
      </c>
      <c r="AK45" s="1">
        <v>2.6015000000000001</v>
      </c>
      <c r="AL45" s="1">
        <v>1.9119000000000001E-2</v>
      </c>
      <c r="AN45" s="1">
        <v>2.59938</v>
      </c>
      <c r="AO45" s="1">
        <v>1.9119400000000002E-2</v>
      </c>
      <c r="AQ45" s="1">
        <v>2.5155400000000001</v>
      </c>
      <c r="AR45" s="1">
        <v>1.91472E-2</v>
      </c>
    </row>
    <row r="46" spans="2:44" x14ac:dyDescent="0.35">
      <c r="B46" s="1">
        <v>0.29293000000000002</v>
      </c>
      <c r="C46" s="1">
        <v>9.9708100000000001E-3</v>
      </c>
      <c r="E46" s="1">
        <v>0.370977</v>
      </c>
      <c r="F46" s="1">
        <v>9.9608600000000002E-3</v>
      </c>
      <c r="H46" s="1">
        <v>0.37098300000000001</v>
      </c>
      <c r="I46" s="1">
        <v>9.9608600000000002E-3</v>
      </c>
      <c r="K46" s="1">
        <v>0.340225</v>
      </c>
      <c r="L46" s="1">
        <v>9.9570100000000005E-3</v>
      </c>
      <c r="N46" s="1">
        <v>0.34023799999999998</v>
      </c>
      <c r="O46" s="1">
        <v>9.9570200000000005E-3</v>
      </c>
      <c r="AE46" s="1">
        <v>4.4521699999999997</v>
      </c>
      <c r="AF46" s="1">
        <v>3.2061699999999999E-2</v>
      </c>
      <c r="AH46" s="1">
        <v>4.4490699999999999</v>
      </c>
      <c r="AI46" s="1">
        <v>3.2065299999999998E-2</v>
      </c>
      <c r="AK46" s="1">
        <v>4.5504499999999997</v>
      </c>
      <c r="AL46" s="1">
        <v>3.1954200000000002E-2</v>
      </c>
      <c r="AN46" s="1">
        <v>4.5467300000000002</v>
      </c>
      <c r="AO46" s="1">
        <v>3.1958300000000002E-2</v>
      </c>
      <c r="AQ46" s="1">
        <v>4.4000399999999997</v>
      </c>
      <c r="AR46" s="1">
        <v>3.2112599999999998E-2</v>
      </c>
    </row>
    <row r="47" spans="2:44" x14ac:dyDescent="0.35">
      <c r="B47" s="1">
        <v>0.58576399999999995</v>
      </c>
      <c r="C47" s="1">
        <v>1.98792E-2</v>
      </c>
      <c r="E47" s="1">
        <v>0.74183299999999996</v>
      </c>
      <c r="F47" s="1">
        <v>1.9839099999999998E-2</v>
      </c>
      <c r="H47" s="1">
        <v>0.74184600000000001</v>
      </c>
      <c r="I47" s="1">
        <v>1.9839099999999998E-2</v>
      </c>
      <c r="K47" s="1">
        <v>0.67988700000000002</v>
      </c>
      <c r="L47" s="1">
        <v>1.98237E-2</v>
      </c>
      <c r="N47" s="1">
        <v>0.67991299999999999</v>
      </c>
      <c r="O47" s="1">
        <v>1.98237E-2</v>
      </c>
      <c r="AE47" s="1">
        <v>7.32</v>
      </c>
      <c r="AF47" s="1">
        <v>3.8522800000000003E-2</v>
      </c>
      <c r="AH47" s="1">
        <v>7.3146500000000003</v>
      </c>
      <c r="AI47" s="1">
        <v>3.8541899999999997E-2</v>
      </c>
      <c r="AK47" s="1">
        <v>7.4820399999999996</v>
      </c>
      <c r="AL47" s="1">
        <v>3.8033299999999999E-2</v>
      </c>
      <c r="AN47" s="1">
        <v>7.4758899999999997</v>
      </c>
      <c r="AO47" s="1">
        <v>3.8056199999999998E-2</v>
      </c>
      <c r="AQ47" s="1">
        <v>7.2347700000000001</v>
      </c>
      <c r="AR47" s="1">
        <v>3.8750399999999997E-2</v>
      </c>
    </row>
    <row r="48" spans="2:44" x14ac:dyDescent="0.35">
      <c r="B48" s="1">
        <v>1.0248299999999999</v>
      </c>
      <c r="C48" s="1">
        <v>3.4625299999999998E-2</v>
      </c>
      <c r="E48" s="1">
        <v>1.29789</v>
      </c>
      <c r="F48" s="1">
        <v>3.45023E-2</v>
      </c>
      <c r="H48" s="1">
        <v>1.29792</v>
      </c>
      <c r="I48" s="1">
        <v>3.45023E-2</v>
      </c>
      <c r="K48" s="1">
        <v>1.18832</v>
      </c>
      <c r="L48" s="1">
        <v>3.4455399999999997E-2</v>
      </c>
      <c r="N48" s="1">
        <v>1.1883600000000001</v>
      </c>
      <c r="O48" s="1">
        <v>3.4455399999999997E-2</v>
      </c>
      <c r="AE48" s="1">
        <v>11.6235</v>
      </c>
      <c r="AF48" s="1">
        <v>4.2603099999999998E-2</v>
      </c>
      <c r="AH48" s="1">
        <v>11.6152</v>
      </c>
      <c r="AI48" s="1">
        <v>4.2622399999999998E-2</v>
      </c>
      <c r="AK48" s="1">
        <v>11.881600000000001</v>
      </c>
      <c r="AL48" s="1">
        <v>4.2025600000000003E-2</v>
      </c>
      <c r="AN48" s="1">
        <v>11.8718</v>
      </c>
      <c r="AO48" s="1">
        <v>4.2052300000000001E-2</v>
      </c>
      <c r="AQ48" s="1">
        <v>11.4887</v>
      </c>
      <c r="AR48" s="1">
        <v>4.2889499999999997E-2</v>
      </c>
    </row>
    <row r="49" spans="2:44" x14ac:dyDescent="0.35">
      <c r="B49" s="1">
        <v>1.6830400000000001</v>
      </c>
      <c r="C49" s="1">
        <v>5.6483899999999997E-2</v>
      </c>
      <c r="E49" s="1">
        <v>2.1314899999999999</v>
      </c>
      <c r="F49" s="1">
        <v>5.6153399999999999E-2</v>
      </c>
      <c r="H49" s="1">
        <v>2.1315300000000001</v>
      </c>
      <c r="I49" s="1">
        <v>5.6153399999999999E-2</v>
      </c>
      <c r="K49" s="1">
        <v>1.9485399999999999</v>
      </c>
      <c r="L49" s="1">
        <v>5.6027100000000003E-2</v>
      </c>
      <c r="N49" s="1">
        <v>1.94862</v>
      </c>
      <c r="O49" s="1">
        <v>5.6027199999999999E-2</v>
      </c>
      <c r="AE49" s="55">
        <v>15.932499999999999</v>
      </c>
      <c r="AF49" s="55">
        <v>4.3681999999999999E-2</v>
      </c>
      <c r="AH49" s="55">
        <v>15.932499999999999</v>
      </c>
      <c r="AI49" s="55">
        <v>4.3694700000000003E-2</v>
      </c>
      <c r="AK49" s="1">
        <v>14.357100000000001</v>
      </c>
      <c r="AL49" s="1">
        <v>4.2965299999999998E-2</v>
      </c>
      <c r="AN49" s="55">
        <v>16.270900000000001</v>
      </c>
      <c r="AO49" s="55">
        <v>4.3213599999999998E-2</v>
      </c>
      <c r="AQ49" s="55">
        <v>17.948899999999998</v>
      </c>
      <c r="AR49" s="55">
        <v>4.3792699999999997E-2</v>
      </c>
    </row>
    <row r="50" spans="2:44" x14ac:dyDescent="0.35">
      <c r="B50" s="1">
        <v>2.6697500000000001</v>
      </c>
      <c r="C50" s="1">
        <v>8.7564500000000003E-2</v>
      </c>
      <c r="E50" s="1">
        <v>3.3803999999999998</v>
      </c>
      <c r="F50" s="1">
        <v>8.6056900000000006E-2</v>
      </c>
      <c r="H50" s="1">
        <v>3.3804599999999998</v>
      </c>
      <c r="I50" s="1">
        <v>8.6056900000000006E-2</v>
      </c>
      <c r="K50" s="1">
        <v>3.0887500000000001</v>
      </c>
      <c r="L50" s="1">
        <v>8.57401E-2</v>
      </c>
      <c r="N50" s="1">
        <v>3.08887</v>
      </c>
      <c r="O50" s="1">
        <v>8.5740300000000005E-2</v>
      </c>
      <c r="AE50" s="1">
        <v>16.877700000000001</v>
      </c>
      <c r="AF50" s="1">
        <v>4.3546099999999997E-2</v>
      </c>
      <c r="AH50" s="1">
        <v>16.887599999999999</v>
      </c>
      <c r="AI50" s="1">
        <v>4.3558699999999999E-2</v>
      </c>
      <c r="AK50" s="1">
        <v>15.7493</v>
      </c>
      <c r="AL50" s="1">
        <v>4.3182900000000003E-2</v>
      </c>
      <c r="AN50" s="1">
        <v>17.345199999999998</v>
      </c>
      <c r="AO50" s="1">
        <v>4.3159200000000002E-2</v>
      </c>
      <c r="AQ50" s="1">
        <v>19.3977</v>
      </c>
      <c r="AR50" s="1">
        <v>4.3416700000000003E-2</v>
      </c>
    </row>
    <row r="51" spans="2:44" x14ac:dyDescent="0.35">
      <c r="B51" s="1">
        <v>4.1529699999999998</v>
      </c>
      <c r="C51" s="1">
        <v>0.12556700000000001</v>
      </c>
      <c r="E51" s="1">
        <v>5.25502</v>
      </c>
      <c r="F51" s="1">
        <v>0.121521</v>
      </c>
      <c r="H51" s="1">
        <v>5.2551100000000002</v>
      </c>
      <c r="I51" s="1">
        <v>0.121521</v>
      </c>
      <c r="K51" s="1">
        <v>4.8169700000000004</v>
      </c>
      <c r="L51" s="1">
        <v>0.121</v>
      </c>
      <c r="N51" s="1">
        <v>4.8171499999999998</v>
      </c>
      <c r="O51" s="1">
        <v>0.121001</v>
      </c>
      <c r="AE51" s="1">
        <v>17.834900000000001</v>
      </c>
      <c r="AF51" s="1">
        <v>4.32494E-2</v>
      </c>
      <c r="AH51" s="1">
        <v>17.843</v>
      </c>
      <c r="AI51" s="1">
        <v>4.3249099999999999E-2</v>
      </c>
      <c r="AK51" s="55">
        <v>16.529399999999999</v>
      </c>
      <c r="AL51" s="55">
        <v>4.3213700000000001E-2</v>
      </c>
      <c r="AN51" s="1">
        <v>18.334399999999999</v>
      </c>
      <c r="AO51" s="1">
        <v>4.2912899999999997E-2</v>
      </c>
      <c r="AQ51" s="1">
        <v>20.804400000000001</v>
      </c>
      <c r="AR51" s="1">
        <v>4.2783500000000002E-2</v>
      </c>
    </row>
    <row r="52" spans="2:44" x14ac:dyDescent="0.35">
      <c r="B52" s="1">
        <v>6.3927899999999998</v>
      </c>
      <c r="C52" s="1">
        <v>0.15642600000000001</v>
      </c>
      <c r="E52" s="1">
        <v>8.0478400000000008</v>
      </c>
      <c r="F52" s="1">
        <v>0.14608499999999999</v>
      </c>
      <c r="H52" s="1">
        <v>8.0480499999999999</v>
      </c>
      <c r="I52" s="1">
        <v>0.14608699999999999</v>
      </c>
      <c r="K52" s="1">
        <v>7.5003599999999997</v>
      </c>
      <c r="L52" s="1">
        <v>0.14742</v>
      </c>
      <c r="N52" s="1">
        <v>7.5005899999999999</v>
      </c>
      <c r="O52" s="1">
        <v>0.14741899999999999</v>
      </c>
      <c r="AE52" s="1">
        <v>18.782</v>
      </c>
      <c r="AF52" s="1">
        <v>4.2838000000000001E-2</v>
      </c>
      <c r="AH52" s="1">
        <v>18.7897</v>
      </c>
      <c r="AI52" s="1">
        <v>4.2835400000000003E-2</v>
      </c>
      <c r="AK52" s="1">
        <v>18.174600000000002</v>
      </c>
      <c r="AL52" s="1">
        <v>4.2959600000000001E-2</v>
      </c>
      <c r="AN52" s="1">
        <v>19.305199999999999</v>
      </c>
      <c r="AO52" s="1">
        <v>4.2539500000000001E-2</v>
      </c>
      <c r="AQ52" s="1">
        <v>22.197199999999999</v>
      </c>
      <c r="AR52" s="1">
        <v>4.2016199999999997E-2</v>
      </c>
    </row>
    <row r="53" spans="2:44" x14ac:dyDescent="0.35">
      <c r="B53" s="1">
        <v>9.80227</v>
      </c>
      <c r="C53" s="1">
        <v>0.17102300000000001</v>
      </c>
      <c r="E53" s="55">
        <v>12.097200000000001</v>
      </c>
      <c r="F53" s="55">
        <v>0.153166</v>
      </c>
      <c r="H53" s="1">
        <v>12.0976</v>
      </c>
      <c r="I53" s="1">
        <v>0.153171</v>
      </c>
      <c r="K53" s="1">
        <v>11.717000000000001</v>
      </c>
      <c r="L53" s="1">
        <v>0.159585</v>
      </c>
      <c r="N53" s="1">
        <v>11.7173</v>
      </c>
      <c r="O53" s="1">
        <v>0.159584</v>
      </c>
      <c r="AE53" s="1">
        <v>20.1938</v>
      </c>
      <c r="AF53" s="1">
        <v>4.2077200000000002E-2</v>
      </c>
      <c r="AH53" s="1">
        <v>20.200399999999998</v>
      </c>
      <c r="AI53" s="1">
        <v>4.2070799999999998E-2</v>
      </c>
      <c r="AK53" s="1">
        <v>19.214700000000001</v>
      </c>
      <c r="AL53" s="1">
        <v>4.2581500000000001E-2</v>
      </c>
      <c r="AN53" s="1">
        <v>20.75</v>
      </c>
      <c r="AO53" s="1">
        <v>4.18187E-2</v>
      </c>
      <c r="AQ53" s="1">
        <v>23.571200000000001</v>
      </c>
      <c r="AR53" s="1">
        <v>4.1058400000000002E-2</v>
      </c>
    </row>
    <row r="54" spans="2:44" x14ac:dyDescent="0.35">
      <c r="B54" s="55">
        <v>14.970800000000001</v>
      </c>
      <c r="C54" s="55">
        <v>0.17516799999999999</v>
      </c>
      <c r="E54" s="1">
        <v>16.0505</v>
      </c>
      <c r="F54" s="1">
        <v>0.15238699999999999</v>
      </c>
      <c r="H54" s="1">
        <v>16.050999999999998</v>
      </c>
      <c r="I54" s="1">
        <v>0.152393</v>
      </c>
      <c r="K54" s="1">
        <v>18.217400000000001</v>
      </c>
      <c r="L54" s="1">
        <v>0.16117799999999999</v>
      </c>
      <c r="N54" s="1">
        <v>18.217600000000001</v>
      </c>
      <c r="O54" s="1">
        <v>0.16117799999999999</v>
      </c>
      <c r="AE54" s="1">
        <v>22.2956</v>
      </c>
      <c r="AF54" s="1">
        <v>4.0511199999999997E-2</v>
      </c>
      <c r="AH54" s="1">
        <v>21.590699999999998</v>
      </c>
      <c r="AI54" s="1">
        <v>4.1077799999999998E-2</v>
      </c>
      <c r="AK54" s="1">
        <v>20.2456</v>
      </c>
      <c r="AL54" s="1">
        <v>4.2099999999999999E-2</v>
      </c>
      <c r="AN54" s="1">
        <v>22.897600000000001</v>
      </c>
      <c r="AO54" s="1">
        <v>4.02707E-2</v>
      </c>
      <c r="AQ54" s="1">
        <v>25.624300000000002</v>
      </c>
      <c r="AR54" s="1">
        <v>3.92903E-2</v>
      </c>
    </row>
    <row r="55" spans="2:44" x14ac:dyDescent="0.35">
      <c r="B55" s="1">
        <v>22.7607</v>
      </c>
      <c r="C55" s="1">
        <v>0.17263300000000001</v>
      </c>
      <c r="E55" s="1">
        <v>19.9876</v>
      </c>
      <c r="F55" s="1">
        <v>0.149586</v>
      </c>
      <c r="H55" s="1">
        <v>19.988199999999999</v>
      </c>
      <c r="I55" s="1">
        <v>0.149593</v>
      </c>
      <c r="K55" s="1">
        <v>24.778199999999998</v>
      </c>
      <c r="L55" s="1">
        <v>0.15812000000000001</v>
      </c>
      <c r="N55" s="1">
        <v>24.7759</v>
      </c>
      <c r="O55" s="1">
        <v>0.15812100000000001</v>
      </c>
      <c r="AE55" s="1">
        <v>24.378399999999999</v>
      </c>
      <c r="AF55" s="1">
        <v>3.8720200000000003E-2</v>
      </c>
      <c r="AH55" s="1">
        <v>22.9666</v>
      </c>
      <c r="AI55" s="1">
        <v>3.9929699999999999E-2</v>
      </c>
      <c r="AK55" s="1">
        <v>21.7761</v>
      </c>
      <c r="AL55" s="1">
        <v>4.1162200000000003E-2</v>
      </c>
      <c r="AN55" s="1">
        <v>25.027200000000001</v>
      </c>
      <c r="AO55" s="1">
        <v>3.84993E-2</v>
      </c>
      <c r="AQ55" s="1">
        <v>27.677</v>
      </c>
      <c r="AR55" s="1">
        <v>3.7503700000000001E-2</v>
      </c>
    </row>
    <row r="56" spans="2:44" x14ac:dyDescent="0.35">
      <c r="B56" s="1">
        <v>34.4529</v>
      </c>
      <c r="C56" s="1">
        <v>0.16442200000000001</v>
      </c>
      <c r="E56" s="1">
        <v>23.907</v>
      </c>
      <c r="F56" s="1">
        <v>0.145764</v>
      </c>
      <c r="H56" s="1">
        <v>23.907599999999999</v>
      </c>
      <c r="I56" s="1">
        <v>0.14577200000000001</v>
      </c>
      <c r="K56" s="1">
        <v>30.604399999999998</v>
      </c>
      <c r="L56" s="1">
        <v>0.15428900000000001</v>
      </c>
      <c r="N56" s="1">
        <v>30.888300000000001</v>
      </c>
      <c r="O56" s="1">
        <v>0.154081</v>
      </c>
      <c r="AE56" s="1">
        <v>25.410599999999999</v>
      </c>
      <c r="AF56" s="1">
        <v>3.78567E-2</v>
      </c>
      <c r="AH56" s="1">
        <v>24.341699999999999</v>
      </c>
      <c r="AI56" s="1">
        <v>3.8759500000000002E-2</v>
      </c>
      <c r="AK56" s="1">
        <v>23.283999999999999</v>
      </c>
      <c r="AL56" s="1">
        <v>3.9984499999999999E-2</v>
      </c>
      <c r="AN56" s="1">
        <v>27.175799999999999</v>
      </c>
      <c r="AO56" s="1">
        <v>3.6724399999999997E-2</v>
      </c>
      <c r="AQ56" s="1">
        <v>28.1844</v>
      </c>
      <c r="AR56" s="1">
        <v>3.7078699999999999E-2</v>
      </c>
    </row>
    <row r="57" spans="2:44" x14ac:dyDescent="0.35">
      <c r="B57" s="1">
        <v>46.169899999999998</v>
      </c>
      <c r="C57" s="1">
        <v>0.15527099999999999</v>
      </c>
      <c r="E57" s="1">
        <v>27.796600000000002</v>
      </c>
      <c r="F57" s="1">
        <v>0.141238</v>
      </c>
      <c r="H57" s="1">
        <v>27.7972</v>
      </c>
      <c r="I57" s="1">
        <v>0.14124600000000001</v>
      </c>
      <c r="K57" s="1">
        <v>37.217500000000001</v>
      </c>
      <c r="L57" s="1">
        <v>0.14937500000000001</v>
      </c>
      <c r="N57" s="1">
        <v>37.502000000000002</v>
      </c>
      <c r="O57" s="1">
        <v>0.14915600000000001</v>
      </c>
      <c r="AE57" s="1">
        <v>26.4437</v>
      </c>
      <c r="AF57" s="1">
        <v>3.7004200000000001E-2</v>
      </c>
      <c r="AH57" s="1">
        <v>25.7193</v>
      </c>
      <c r="AI57" s="1">
        <v>3.76026E-2</v>
      </c>
      <c r="AK57" s="1">
        <v>24.787199999999999</v>
      </c>
      <c r="AL57" s="1">
        <v>3.8740200000000002E-2</v>
      </c>
      <c r="AN57" s="1">
        <v>27.704000000000001</v>
      </c>
      <c r="AO57" s="1">
        <v>3.6303599999999998E-2</v>
      </c>
      <c r="AQ57" s="1">
        <v>28.6919</v>
      </c>
      <c r="AR57" s="1">
        <v>3.6657500000000003E-2</v>
      </c>
    </row>
    <row r="58" spans="2:44" x14ac:dyDescent="0.35">
      <c r="B58" s="1">
        <v>57.88</v>
      </c>
      <c r="C58" s="1">
        <v>0.146061</v>
      </c>
      <c r="E58" s="1">
        <v>31.661999999999999</v>
      </c>
      <c r="F58" s="1">
        <v>0.13630200000000001</v>
      </c>
      <c r="H58" s="1">
        <v>31.662600000000001</v>
      </c>
      <c r="I58" s="1">
        <v>0.13630900000000001</v>
      </c>
      <c r="K58" s="1">
        <v>43.8429</v>
      </c>
      <c r="L58" s="1">
        <v>0.14427499999999999</v>
      </c>
      <c r="N58" s="1">
        <v>44.127800000000001</v>
      </c>
      <c r="O58" s="1">
        <v>0.14405299999999999</v>
      </c>
      <c r="AE58" s="1">
        <v>28.198399999999999</v>
      </c>
      <c r="AF58" s="1">
        <v>3.5487100000000001E-2</v>
      </c>
      <c r="AH58" s="1">
        <v>27.291799999999999</v>
      </c>
      <c r="AI58" s="1">
        <v>3.6274599999999997E-2</v>
      </c>
      <c r="AK58" s="1">
        <v>27.0809</v>
      </c>
      <c r="AL58" s="1">
        <v>3.68338E-2</v>
      </c>
      <c r="AN58" s="1">
        <v>28.232199999999999</v>
      </c>
      <c r="AO58" s="1">
        <v>3.5886000000000001E-2</v>
      </c>
      <c r="AQ58" s="1">
        <v>29.453299999999999</v>
      </c>
      <c r="AR58" s="1">
        <v>3.6025300000000003E-2</v>
      </c>
    </row>
    <row r="59" spans="2:44" x14ac:dyDescent="0.35">
      <c r="B59" s="1">
        <v>64.459000000000003</v>
      </c>
      <c r="C59" s="1">
        <v>0.14092099999999999</v>
      </c>
      <c r="E59" s="1">
        <v>35.510599999999997</v>
      </c>
      <c r="F59" s="1">
        <v>0.13119400000000001</v>
      </c>
      <c r="H59" s="1">
        <v>35.511099999999999</v>
      </c>
      <c r="I59" s="1">
        <v>0.13119900000000001</v>
      </c>
      <c r="K59" s="1">
        <v>53.790500000000002</v>
      </c>
      <c r="L59" s="1">
        <v>0.136521</v>
      </c>
      <c r="N59" s="1">
        <v>54.075400000000002</v>
      </c>
      <c r="O59" s="1">
        <v>0.1363</v>
      </c>
      <c r="AE59" s="1">
        <v>29.735099999999999</v>
      </c>
      <c r="AF59" s="1">
        <v>3.4002499999999998E-2</v>
      </c>
      <c r="AH59" s="1">
        <v>27.669599999999999</v>
      </c>
      <c r="AI59" s="1">
        <v>3.5957700000000002E-2</v>
      </c>
      <c r="AK59" s="1">
        <v>27.645099999999999</v>
      </c>
      <c r="AL59" s="1">
        <v>3.6383600000000002E-2</v>
      </c>
      <c r="AN59" s="1">
        <v>29.0245</v>
      </c>
      <c r="AO59" s="1">
        <v>3.52571E-2</v>
      </c>
      <c r="AQ59" s="1">
        <v>30.619800000000001</v>
      </c>
      <c r="AR59" s="1">
        <v>3.50076E-2</v>
      </c>
    </row>
    <row r="60" spans="2:44" x14ac:dyDescent="0.35">
      <c r="B60" s="1">
        <v>74.267799999999994</v>
      </c>
      <c r="C60" s="1">
        <v>0.13275400000000001</v>
      </c>
      <c r="E60" s="1">
        <v>39.343200000000003</v>
      </c>
      <c r="F60" s="1">
        <v>0.12601799999999999</v>
      </c>
      <c r="H60" s="1">
        <v>39.343499999999999</v>
      </c>
      <c r="I60" s="1">
        <v>0.12601999999999999</v>
      </c>
      <c r="K60" s="1">
        <v>63.738799999999998</v>
      </c>
      <c r="L60" s="1">
        <v>0.12882299999999999</v>
      </c>
      <c r="N60" s="1">
        <v>64.023300000000006</v>
      </c>
      <c r="O60" s="1">
        <v>0.128604</v>
      </c>
      <c r="AE60" s="1">
        <v>31.1144</v>
      </c>
      <c r="AF60" s="1">
        <v>3.2781699999999997E-2</v>
      </c>
      <c r="AH60" s="1">
        <v>28.044899999999998</v>
      </c>
      <c r="AI60" s="1">
        <v>3.5640100000000001E-2</v>
      </c>
      <c r="AK60" s="1">
        <v>28.209299999999999</v>
      </c>
      <c r="AL60" s="1">
        <v>3.5936799999999998E-2</v>
      </c>
      <c r="AN60" s="1">
        <v>30.234400000000001</v>
      </c>
      <c r="AO60" s="1">
        <v>3.4255300000000002E-2</v>
      </c>
      <c r="AQ60" s="1">
        <v>31.699300000000001</v>
      </c>
      <c r="AR60" s="1">
        <v>3.3986200000000001E-2</v>
      </c>
    </row>
    <row r="61" spans="2:44" x14ac:dyDescent="0.35">
      <c r="B61" s="1">
        <v>84.071600000000004</v>
      </c>
      <c r="C61" s="1">
        <v>0.124685</v>
      </c>
      <c r="E61" s="1">
        <v>43.162500000000001</v>
      </c>
      <c r="F61" s="1">
        <v>0.120852</v>
      </c>
      <c r="H61" s="1">
        <v>43.162700000000001</v>
      </c>
      <c r="I61" s="1">
        <v>0.120851</v>
      </c>
      <c r="K61" s="1">
        <v>73.674700000000001</v>
      </c>
      <c r="L61" s="1">
        <v>0.12112199999999999</v>
      </c>
      <c r="N61" s="1">
        <v>73.958699999999993</v>
      </c>
      <c r="O61" s="1">
        <v>0.12090099999999999</v>
      </c>
      <c r="AE61" s="1">
        <v>32.567900000000002</v>
      </c>
      <c r="AF61" s="1">
        <v>3.1826E-2</v>
      </c>
      <c r="AH61" s="1">
        <v>28.6021</v>
      </c>
      <c r="AI61" s="1">
        <v>3.51536E-2</v>
      </c>
      <c r="AK61" s="1">
        <v>29.056000000000001</v>
      </c>
      <c r="AL61" s="1">
        <v>3.5267199999999999E-2</v>
      </c>
      <c r="AN61" s="1">
        <v>31.366499999999998</v>
      </c>
      <c r="AO61" s="1">
        <v>3.3289300000000001E-2</v>
      </c>
      <c r="AQ61" s="1">
        <v>32.735799999999998</v>
      </c>
      <c r="AR61" s="1">
        <v>3.2932200000000002E-2</v>
      </c>
    </row>
    <row r="62" spans="2:44" x14ac:dyDescent="0.35">
      <c r="B62" s="1">
        <v>93.8857</v>
      </c>
      <c r="C62" s="1">
        <v>0.11693099999999999</v>
      </c>
      <c r="E62" s="1">
        <v>46.981299999999997</v>
      </c>
      <c r="F62" s="1">
        <v>0.11584</v>
      </c>
      <c r="H62" s="1">
        <v>46.981400000000001</v>
      </c>
      <c r="I62" s="1">
        <v>0.11583599999999999</v>
      </c>
      <c r="K62" s="1">
        <v>83.603399999999993</v>
      </c>
      <c r="L62" s="1">
        <v>0.11347400000000001</v>
      </c>
      <c r="N62" s="1">
        <v>83.887</v>
      </c>
      <c r="O62" s="1">
        <v>0.113259</v>
      </c>
      <c r="AE62" s="1">
        <v>34.058999999999997</v>
      </c>
      <c r="AF62" s="1">
        <v>3.0587300000000001E-2</v>
      </c>
      <c r="AH62" s="1">
        <v>29.4224</v>
      </c>
      <c r="AI62" s="1">
        <v>3.4392899999999997E-2</v>
      </c>
      <c r="AK62" s="1">
        <v>30.357099999999999</v>
      </c>
      <c r="AL62" s="1">
        <v>3.4190600000000002E-2</v>
      </c>
      <c r="AN62" s="1">
        <v>32.486800000000002</v>
      </c>
      <c r="AO62" s="1">
        <v>3.2323699999999997E-2</v>
      </c>
      <c r="AQ62" s="1">
        <v>33.764299999999999</v>
      </c>
      <c r="AR62" s="1">
        <v>3.19954E-2</v>
      </c>
    </row>
    <row r="63" spans="2:44" x14ac:dyDescent="0.35">
      <c r="B63" s="1">
        <v>103.71</v>
      </c>
      <c r="C63" s="1">
        <v>0.10942499999999999</v>
      </c>
      <c r="E63" s="1">
        <v>50.813600000000001</v>
      </c>
      <c r="F63" s="1">
        <v>0.111195</v>
      </c>
      <c r="H63" s="1">
        <v>50.813699999999997</v>
      </c>
      <c r="I63" s="1">
        <v>0.111189</v>
      </c>
      <c r="K63" s="1">
        <v>93.527900000000002</v>
      </c>
      <c r="L63" s="1">
        <v>0.106033</v>
      </c>
      <c r="N63" s="1">
        <v>93.811300000000003</v>
      </c>
      <c r="O63" s="1">
        <v>0.105823</v>
      </c>
      <c r="AE63" s="1">
        <v>35.490400000000001</v>
      </c>
      <c r="AF63" s="1">
        <v>2.91422E-2</v>
      </c>
      <c r="AH63" s="1">
        <v>30.220700000000001</v>
      </c>
      <c r="AI63" s="1">
        <v>3.3611799999999997E-2</v>
      </c>
      <c r="AK63" s="1">
        <v>31.5671</v>
      </c>
      <c r="AL63" s="1">
        <v>3.3114400000000002E-2</v>
      </c>
      <c r="AN63" s="1">
        <v>33.597900000000003</v>
      </c>
      <c r="AO63" s="1">
        <v>3.13318E-2</v>
      </c>
      <c r="AQ63" s="1">
        <v>34.831499999999998</v>
      </c>
      <c r="AR63" s="1">
        <v>3.1283100000000001E-2</v>
      </c>
    </row>
    <row r="64" spans="2:44" x14ac:dyDescent="0.35">
      <c r="B64" s="1">
        <v>113.542</v>
      </c>
      <c r="C64" s="1">
        <v>0.102105</v>
      </c>
      <c r="E64" s="1">
        <v>54.668900000000001</v>
      </c>
      <c r="F64" s="1">
        <v>0.107076</v>
      </c>
      <c r="H64" s="1">
        <v>54.668999999999997</v>
      </c>
      <c r="I64" s="1">
        <v>0.107069</v>
      </c>
      <c r="K64" s="1">
        <v>103.45</v>
      </c>
      <c r="L64" s="1">
        <v>9.8774500000000001E-2</v>
      </c>
      <c r="N64" s="1">
        <v>103.733</v>
      </c>
      <c r="O64" s="1">
        <v>9.8569699999999996E-2</v>
      </c>
      <c r="AE64" s="1">
        <v>36.927399999999999</v>
      </c>
      <c r="AF64" s="1">
        <v>2.8299899999999999E-2</v>
      </c>
      <c r="AH64" s="1">
        <v>31.010100000000001</v>
      </c>
      <c r="AI64" s="1">
        <v>3.2876000000000002E-2</v>
      </c>
      <c r="AK64" s="1">
        <v>32.738399999999999</v>
      </c>
      <c r="AL64" s="1">
        <v>3.2079000000000003E-2</v>
      </c>
      <c r="AN64" s="1">
        <v>34.699300000000001</v>
      </c>
      <c r="AO64" s="1">
        <v>3.0376500000000001E-2</v>
      </c>
      <c r="AQ64" s="1">
        <v>35.946100000000001</v>
      </c>
      <c r="AR64" s="1">
        <v>3.0617399999999999E-2</v>
      </c>
    </row>
    <row r="65" spans="2:44" x14ac:dyDescent="0.35">
      <c r="B65" s="1">
        <v>123.38500000000001</v>
      </c>
      <c r="C65" s="1">
        <v>9.4917299999999996E-2</v>
      </c>
      <c r="E65" s="1">
        <v>58.552199999999999</v>
      </c>
      <c r="F65" s="1">
        <v>0.103573</v>
      </c>
      <c r="H65" s="1">
        <v>58.552199999999999</v>
      </c>
      <c r="I65" s="1">
        <v>0.103564</v>
      </c>
      <c r="K65" s="1">
        <v>113.375</v>
      </c>
      <c r="L65" s="1">
        <v>9.1655100000000003E-2</v>
      </c>
      <c r="N65" s="1">
        <v>113.658</v>
      </c>
      <c r="O65" s="1">
        <v>9.1453900000000005E-2</v>
      </c>
      <c r="AE65" s="1">
        <v>38.437100000000001</v>
      </c>
      <c r="AF65" s="1">
        <v>2.8039700000000001E-2</v>
      </c>
      <c r="AH65" s="1">
        <v>31.8066</v>
      </c>
      <c r="AI65" s="1">
        <v>3.2239900000000002E-2</v>
      </c>
      <c r="AK65" s="1">
        <v>33.926699999999997</v>
      </c>
      <c r="AL65" s="1">
        <v>3.1167799999999999E-2</v>
      </c>
      <c r="AN65" s="1">
        <v>35.814799999999998</v>
      </c>
      <c r="AO65" s="1">
        <v>2.96125E-2</v>
      </c>
      <c r="AQ65" s="1">
        <v>37.053600000000003</v>
      </c>
      <c r="AR65" s="1">
        <v>2.9700399999999998E-2</v>
      </c>
    </row>
    <row r="66" spans="2:44" x14ac:dyDescent="0.35">
      <c r="B66" s="1">
        <v>133.238</v>
      </c>
      <c r="C66" s="1">
        <v>8.7824399999999997E-2</v>
      </c>
      <c r="E66" s="1">
        <v>62.464300000000001</v>
      </c>
      <c r="F66" s="1">
        <v>0.100551</v>
      </c>
      <c r="H66" s="1">
        <v>62.464300000000001</v>
      </c>
      <c r="I66" s="1">
        <v>0.10054100000000001</v>
      </c>
      <c r="K66" s="1">
        <v>123.309</v>
      </c>
      <c r="L66" s="1">
        <v>8.4684999999999996E-2</v>
      </c>
      <c r="N66" s="1">
        <v>123.593</v>
      </c>
      <c r="O66" s="1">
        <v>8.4492100000000001E-2</v>
      </c>
      <c r="AE66" s="1">
        <v>40.029200000000003</v>
      </c>
      <c r="AF66" s="1">
        <v>2.7789299999999999E-2</v>
      </c>
      <c r="AH66" s="1">
        <v>32.622199999999999</v>
      </c>
      <c r="AI66" s="1">
        <v>3.1709099999999997E-2</v>
      </c>
      <c r="AK66" s="1">
        <v>35.145699999999998</v>
      </c>
      <c r="AL66" s="1">
        <v>3.0291200000000001E-2</v>
      </c>
      <c r="AN66" s="1">
        <v>36.972099999999998</v>
      </c>
      <c r="AO66" s="1">
        <v>2.90154E-2</v>
      </c>
      <c r="AQ66" s="1">
        <v>38.1265</v>
      </c>
      <c r="AR66" s="1">
        <v>2.8624900000000002E-2</v>
      </c>
    </row>
    <row r="67" spans="2:44" x14ac:dyDescent="0.35">
      <c r="B67" s="1">
        <v>143.119</v>
      </c>
      <c r="C67" s="1">
        <v>8.1079600000000002E-2</v>
      </c>
      <c r="E67" s="1">
        <v>66.400700000000001</v>
      </c>
      <c r="F67" s="1">
        <v>9.7878099999999996E-2</v>
      </c>
      <c r="H67" s="1">
        <v>66.400700000000001</v>
      </c>
      <c r="I67" s="1">
        <v>9.7868300000000005E-2</v>
      </c>
      <c r="K67" s="1">
        <v>133.26900000000001</v>
      </c>
      <c r="L67" s="1">
        <v>7.8264399999999998E-2</v>
      </c>
      <c r="N67" s="1">
        <v>133.553</v>
      </c>
      <c r="O67" s="1">
        <v>7.8096700000000005E-2</v>
      </c>
      <c r="AE67" s="1">
        <v>41.613100000000003</v>
      </c>
      <c r="AF67" s="1">
        <v>2.6829599999999999E-2</v>
      </c>
      <c r="AH67" s="1">
        <v>33.441400000000002</v>
      </c>
      <c r="AI67" s="1">
        <v>3.11163E-2</v>
      </c>
      <c r="AK67" s="1">
        <v>36.004100000000001</v>
      </c>
      <c r="AL67" s="1">
        <v>2.9602799999999999E-2</v>
      </c>
      <c r="AN67" s="1">
        <v>38.751399999999997</v>
      </c>
      <c r="AO67" s="1">
        <v>2.79657E-2</v>
      </c>
      <c r="AQ67" s="1">
        <v>39.195599999999999</v>
      </c>
      <c r="AR67" s="1">
        <v>2.7756400000000001E-2</v>
      </c>
    </row>
    <row r="68" spans="2:44" x14ac:dyDescent="0.35">
      <c r="B68" s="1">
        <v>153.03200000000001</v>
      </c>
      <c r="C68" s="1">
        <v>7.5345899999999993E-2</v>
      </c>
      <c r="E68" s="1">
        <v>70.364699999999999</v>
      </c>
      <c r="F68" s="1">
        <v>9.5658000000000007E-2</v>
      </c>
      <c r="H68" s="1">
        <v>70.364699999999999</v>
      </c>
      <c r="I68" s="1">
        <v>9.5647800000000005E-2</v>
      </c>
      <c r="K68" s="1">
        <v>143.255</v>
      </c>
      <c r="L68" s="1">
        <v>7.2981199999999996E-2</v>
      </c>
      <c r="N68" s="1">
        <v>143.54</v>
      </c>
      <c r="O68" s="1">
        <v>7.2854199999999994E-2</v>
      </c>
      <c r="AE68" s="1">
        <v>43.145800000000001</v>
      </c>
      <c r="AF68" s="1">
        <v>2.5374899999999999E-2</v>
      </c>
      <c r="AH68" s="1">
        <v>34.233600000000003</v>
      </c>
      <c r="AI68" s="1">
        <v>3.0513999999999999E-2</v>
      </c>
      <c r="AK68" s="1">
        <v>36.605699999999999</v>
      </c>
      <c r="AL68" s="1">
        <v>2.9107999999999998E-2</v>
      </c>
      <c r="AN68" s="1">
        <v>40.506900000000002</v>
      </c>
      <c r="AO68" s="1">
        <v>2.66173E-2</v>
      </c>
      <c r="AQ68" s="1">
        <v>40.291400000000003</v>
      </c>
      <c r="AR68" s="1">
        <v>2.72529E-2</v>
      </c>
    </row>
    <row r="69" spans="2:44" x14ac:dyDescent="0.35">
      <c r="B69" s="1">
        <v>162.97999999999999</v>
      </c>
      <c r="C69" s="1">
        <v>7.1341299999999996E-2</v>
      </c>
      <c r="E69" s="1">
        <v>74.357799999999997</v>
      </c>
      <c r="F69" s="1">
        <v>9.39411E-2</v>
      </c>
      <c r="H69" s="1">
        <v>74.357900000000001</v>
      </c>
      <c r="I69" s="1">
        <v>9.39305E-2</v>
      </c>
      <c r="K69" s="1">
        <v>153.27699999999999</v>
      </c>
      <c r="L69" s="1">
        <v>6.9355899999999998E-2</v>
      </c>
      <c r="N69" s="1">
        <v>153.56299999999999</v>
      </c>
      <c r="O69" s="1">
        <v>6.9282399999999994E-2</v>
      </c>
      <c r="AE69" s="1">
        <v>44.688600000000001</v>
      </c>
      <c r="AF69" s="1">
        <v>2.4164000000000001E-2</v>
      </c>
      <c r="AH69" s="1">
        <v>35.052100000000003</v>
      </c>
      <c r="AI69" s="1">
        <v>3.0108800000000002E-2</v>
      </c>
      <c r="AK69" s="1">
        <v>37.210599999999999</v>
      </c>
      <c r="AL69" s="1">
        <v>2.8618000000000001E-2</v>
      </c>
      <c r="AN69" s="1">
        <v>42.266100000000002</v>
      </c>
      <c r="AO69" s="1">
        <v>2.5491E-2</v>
      </c>
      <c r="AQ69" s="1">
        <v>41.421799999999998</v>
      </c>
      <c r="AR69" s="1">
        <v>2.70058E-2</v>
      </c>
    </row>
    <row r="70" spans="2:44" x14ac:dyDescent="0.35">
      <c r="B70" s="1">
        <v>172.26499999999999</v>
      </c>
      <c r="C70" s="1">
        <v>6.9745199999999993E-2</v>
      </c>
      <c r="E70" s="1">
        <v>78.379300000000001</v>
      </c>
      <c r="F70" s="1">
        <v>9.2663999999999996E-2</v>
      </c>
      <c r="H70" s="1">
        <v>78.379400000000004</v>
      </c>
      <c r="I70" s="1">
        <v>9.2652600000000002E-2</v>
      </c>
      <c r="K70" s="1">
        <v>153.434</v>
      </c>
      <c r="L70" s="1">
        <v>6.9316100000000005E-2</v>
      </c>
      <c r="N70" s="1">
        <v>162.88</v>
      </c>
      <c r="O70" s="1">
        <v>6.7791799999999999E-2</v>
      </c>
      <c r="AE70" s="1">
        <v>46.258299999999998</v>
      </c>
      <c r="AF70" s="1">
        <v>2.3287100000000002E-2</v>
      </c>
      <c r="AH70" s="1">
        <v>35.877099999999999</v>
      </c>
      <c r="AI70" s="1">
        <v>2.95395E-2</v>
      </c>
      <c r="AK70" s="1">
        <v>37.8157</v>
      </c>
      <c r="AL70" s="1">
        <v>2.8172599999999999E-2</v>
      </c>
      <c r="AN70" s="1">
        <v>44.063600000000001</v>
      </c>
      <c r="AO70" s="1">
        <v>2.45837E-2</v>
      </c>
      <c r="AQ70" s="1">
        <v>43.176099999999998</v>
      </c>
      <c r="AR70" s="1">
        <v>2.6693999999999999E-2</v>
      </c>
    </row>
    <row r="71" spans="2:44" x14ac:dyDescent="0.35">
      <c r="B71" s="1">
        <v>182.28100000000001</v>
      </c>
      <c r="C71" s="1">
        <v>6.9142899999999993E-2</v>
      </c>
      <c r="E71" s="1">
        <v>82.425200000000004</v>
      </c>
      <c r="F71" s="1">
        <v>9.1718300000000003E-2</v>
      </c>
      <c r="H71" s="1">
        <v>82.425299999999993</v>
      </c>
      <c r="I71" s="1">
        <v>9.1705900000000007E-2</v>
      </c>
      <c r="K71" s="1">
        <v>153.59100000000001</v>
      </c>
      <c r="L71" s="1">
        <v>6.9276900000000002E-2</v>
      </c>
      <c r="N71" s="1">
        <v>173.02199999999999</v>
      </c>
      <c r="O71" s="1">
        <v>6.7842E-2</v>
      </c>
      <c r="AE71" s="1">
        <v>47.834400000000002</v>
      </c>
      <c r="AF71" s="1">
        <v>2.24865E-2</v>
      </c>
      <c r="AH71" s="1">
        <v>36.6387</v>
      </c>
      <c r="AI71" s="1">
        <v>2.8697400000000001E-2</v>
      </c>
      <c r="AK71" s="1">
        <v>38.427100000000003</v>
      </c>
      <c r="AL71" s="1">
        <v>2.77991E-2</v>
      </c>
      <c r="AN71" s="1">
        <v>45.865600000000001</v>
      </c>
      <c r="AO71" s="1">
        <v>2.35561E-2</v>
      </c>
      <c r="AQ71" s="1">
        <v>44.947099999999999</v>
      </c>
      <c r="AR71" s="1">
        <v>2.57124E-2</v>
      </c>
    </row>
    <row r="72" spans="2:44" x14ac:dyDescent="0.35">
      <c r="B72" s="1">
        <v>192.35599999999999</v>
      </c>
      <c r="C72" s="1">
        <v>6.9896100000000003E-2</v>
      </c>
      <c r="E72" s="1">
        <v>86.495400000000004</v>
      </c>
      <c r="F72" s="1">
        <v>9.1006400000000001E-2</v>
      </c>
      <c r="H72" s="1">
        <v>86.495400000000004</v>
      </c>
      <c r="I72" s="1">
        <v>9.0993000000000004E-2</v>
      </c>
      <c r="K72" s="1">
        <v>153.74799999999999</v>
      </c>
      <c r="L72" s="1">
        <v>6.9238099999999997E-2</v>
      </c>
      <c r="N72" s="1">
        <v>183.20599999999999</v>
      </c>
      <c r="O72" s="1">
        <v>6.9827399999999998E-2</v>
      </c>
      <c r="AE72" s="1">
        <v>49.404299999999999</v>
      </c>
      <c r="AF72" s="1">
        <v>2.1625599999999998E-2</v>
      </c>
      <c r="AH72" s="1">
        <v>37.442500000000003</v>
      </c>
      <c r="AI72" s="1">
        <v>2.82309E-2</v>
      </c>
      <c r="AK72" s="1">
        <v>39.360199999999999</v>
      </c>
      <c r="AL72" s="1">
        <v>2.7339700000000002E-2</v>
      </c>
      <c r="AN72" s="1">
        <v>47.653599999999997</v>
      </c>
      <c r="AO72" s="1">
        <v>2.2384100000000001E-2</v>
      </c>
      <c r="AQ72" s="1">
        <v>46.6584</v>
      </c>
      <c r="AR72" s="1">
        <v>2.4287300000000001E-2</v>
      </c>
    </row>
    <row r="73" spans="2:44" x14ac:dyDescent="0.35">
      <c r="B73" s="1">
        <v>202.49299999999999</v>
      </c>
      <c r="C73" s="1">
        <v>7.1857400000000002E-2</v>
      </c>
      <c r="E73" s="1">
        <v>90.587500000000006</v>
      </c>
      <c r="F73" s="1">
        <v>9.0495000000000006E-2</v>
      </c>
      <c r="H73" s="1">
        <v>90.587599999999995</v>
      </c>
      <c r="I73" s="1">
        <v>9.0480699999999997E-2</v>
      </c>
      <c r="K73" s="1">
        <v>153.905</v>
      </c>
      <c r="L73" s="1">
        <v>6.9199899999999995E-2</v>
      </c>
      <c r="N73" s="1">
        <v>193.447</v>
      </c>
      <c r="O73" s="1">
        <v>7.2091500000000003E-2</v>
      </c>
      <c r="AE73" s="1">
        <v>50.976300000000002</v>
      </c>
      <c r="AF73" s="1">
        <v>2.0724900000000001E-2</v>
      </c>
      <c r="AH73" s="1">
        <v>38.288400000000003</v>
      </c>
      <c r="AI73" s="1">
        <v>2.7928000000000001E-2</v>
      </c>
      <c r="AK73" s="1">
        <v>40.314900000000002</v>
      </c>
      <c r="AL73" s="1">
        <v>2.6947200000000001E-2</v>
      </c>
      <c r="AN73" s="1">
        <v>49.444400000000002</v>
      </c>
      <c r="AO73" s="1">
        <v>2.1234300000000001E-2</v>
      </c>
      <c r="AQ73" s="1">
        <v>48.376300000000001</v>
      </c>
      <c r="AR73" s="1">
        <v>2.2946100000000001E-2</v>
      </c>
    </row>
    <row r="74" spans="2:44" x14ac:dyDescent="0.35">
      <c r="B74" s="1">
        <v>212.68</v>
      </c>
      <c r="C74" s="1">
        <v>7.3641300000000007E-2</v>
      </c>
      <c r="E74" s="1">
        <v>94.700999999999993</v>
      </c>
      <c r="F74" s="1">
        <v>9.0189000000000005E-2</v>
      </c>
      <c r="H74" s="1">
        <v>94.701099999999997</v>
      </c>
      <c r="I74" s="1">
        <v>9.0173699999999996E-2</v>
      </c>
      <c r="K74" s="1">
        <v>154.06700000000001</v>
      </c>
      <c r="L74" s="1">
        <v>6.9160899999999997E-2</v>
      </c>
      <c r="N74" s="1">
        <v>203.74</v>
      </c>
      <c r="O74" s="1">
        <v>7.4464900000000001E-2</v>
      </c>
    </row>
    <row r="75" spans="2:44" x14ac:dyDescent="0.35">
      <c r="B75" s="1">
        <v>222.91499999999999</v>
      </c>
      <c r="C75" s="1">
        <v>7.5471800000000006E-2</v>
      </c>
      <c r="E75" s="1">
        <v>98.836299999999994</v>
      </c>
      <c r="F75" s="1">
        <v>9.0058100000000002E-2</v>
      </c>
      <c r="H75" s="1">
        <v>98.836399999999998</v>
      </c>
      <c r="I75" s="1">
        <v>9.0041899999999994E-2</v>
      </c>
      <c r="K75" s="1">
        <v>154.233</v>
      </c>
      <c r="L75" s="1">
        <v>6.9120899999999999E-2</v>
      </c>
      <c r="N75" s="1">
        <v>214.08199999999999</v>
      </c>
      <c r="O75" s="1">
        <v>7.6953400000000005E-2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FDA6-6B8C-43A3-8FE8-DA997FB717AE}">
  <dimension ref="D2:AE20"/>
  <sheetViews>
    <sheetView tabSelected="1" topLeftCell="M1" workbookViewId="0">
      <selection activeCell="E2" sqref="E2:U6"/>
    </sheetView>
  </sheetViews>
  <sheetFormatPr defaultRowHeight="15.5" x14ac:dyDescent="0.35"/>
  <cols>
    <col min="1" max="4" width="8.7265625" style="63"/>
    <col min="5" max="5" width="23.26953125" style="63" customWidth="1"/>
    <col min="6" max="14" width="14.81640625" style="63" customWidth="1"/>
    <col min="15" max="15" width="12.08984375" style="63" customWidth="1"/>
    <col min="16" max="16" width="14.81640625" style="63" bestFit="1" customWidth="1"/>
    <col min="17" max="21" width="10.90625" style="63" bestFit="1" customWidth="1"/>
    <col min="22" max="24" width="8.7265625" style="63"/>
    <col min="25" max="25" width="20.453125" style="63" customWidth="1"/>
    <col min="26" max="26" width="11.1796875" style="63" customWidth="1"/>
    <col min="27" max="16384" width="8.7265625" style="63"/>
  </cols>
  <sheetData>
    <row r="2" spans="4:31" ht="31" x14ac:dyDescent="0.35">
      <c r="F2" s="56" t="s">
        <v>166</v>
      </c>
      <c r="G2" s="56" t="s">
        <v>176</v>
      </c>
      <c r="H2" s="85" t="s">
        <v>188</v>
      </c>
      <c r="I2" s="85"/>
      <c r="J2" s="85"/>
      <c r="K2" s="85"/>
      <c r="L2" s="85"/>
      <c r="P2" s="56" t="s">
        <v>189</v>
      </c>
      <c r="Q2" s="85" t="s">
        <v>190</v>
      </c>
      <c r="R2" s="85"/>
      <c r="S2" s="85"/>
      <c r="T2" s="85"/>
      <c r="U2" s="85"/>
    </row>
    <row r="3" spans="4:31" ht="33.5" customHeight="1" x14ac:dyDescent="0.35">
      <c r="D3" s="38" t="s">
        <v>167</v>
      </c>
      <c r="E3" s="38" t="s">
        <v>168</v>
      </c>
      <c r="F3" s="57" t="s">
        <v>173</v>
      </c>
      <c r="G3" s="57" t="s">
        <v>169</v>
      </c>
      <c r="H3" s="38" t="s">
        <v>177</v>
      </c>
      <c r="I3" s="38" t="s">
        <v>178</v>
      </c>
      <c r="J3" s="38" t="s">
        <v>179</v>
      </c>
      <c r="K3" s="38" t="s">
        <v>180</v>
      </c>
      <c r="L3" s="38" t="s">
        <v>181</v>
      </c>
      <c r="M3" s="83" t="s">
        <v>174</v>
      </c>
      <c r="N3" s="57" t="s">
        <v>175</v>
      </c>
      <c r="O3" s="38" t="s">
        <v>165</v>
      </c>
      <c r="P3" s="38" t="s">
        <v>191</v>
      </c>
      <c r="Q3" s="38" t="s">
        <v>177</v>
      </c>
      <c r="R3" s="38" t="s">
        <v>178</v>
      </c>
      <c r="S3" s="38" t="s">
        <v>179</v>
      </c>
      <c r="T3" s="38" t="s">
        <v>180</v>
      </c>
      <c r="U3" s="38" t="s">
        <v>181</v>
      </c>
    </row>
    <row r="4" spans="4:31" x14ac:dyDescent="0.35">
      <c r="D4" s="38" t="s">
        <v>131</v>
      </c>
      <c r="E4" s="38" t="s">
        <v>170</v>
      </c>
      <c r="F4" s="64">
        <v>4.3799999999999999E-2</v>
      </c>
      <c r="G4" s="58">
        <v>4.43968E-2</v>
      </c>
      <c r="H4" s="81">
        <v>4.3681999999999999E-2</v>
      </c>
      <c r="I4" s="81">
        <v>4.3694700000000003E-2</v>
      </c>
      <c r="J4" s="80">
        <v>4.3213700000000001E-2</v>
      </c>
      <c r="K4" s="80">
        <v>4.3213599999999998E-2</v>
      </c>
      <c r="L4" s="81">
        <v>4.3792699999999997E-2</v>
      </c>
      <c r="M4" s="84">
        <v>7.6398952872405266</v>
      </c>
      <c r="N4" s="60">
        <v>4.75</v>
      </c>
      <c r="O4" s="61">
        <v>1.6083990078401109</v>
      </c>
      <c r="P4" s="61">
        <f>G4/F4</f>
        <v>1.0136255707762558</v>
      </c>
      <c r="Q4" s="61">
        <f>H4/F4</f>
        <v>0.9973059360730594</v>
      </c>
      <c r="R4" s="61">
        <f>I4/F4</f>
        <v>0.99759589041095897</v>
      </c>
      <c r="S4" s="61">
        <f>J4/F4</f>
        <v>0.9866141552511416</v>
      </c>
      <c r="T4" s="61">
        <f>K4/F4</f>
        <v>0.98661187214611867</v>
      </c>
      <c r="U4" s="59">
        <f>L4/F4</f>
        <v>0.99983333333333324</v>
      </c>
    </row>
    <row r="5" spans="4:31" x14ac:dyDescent="0.35">
      <c r="D5" s="38" t="s">
        <v>132</v>
      </c>
      <c r="E5" s="38" t="s">
        <v>171</v>
      </c>
      <c r="F5" s="64">
        <v>0.2082</v>
      </c>
      <c r="G5" s="58">
        <v>0.233708</v>
      </c>
      <c r="H5" s="81">
        <v>0.206618</v>
      </c>
      <c r="I5" s="81">
        <v>0.207097</v>
      </c>
      <c r="J5" s="81">
        <v>0.206821</v>
      </c>
      <c r="K5" s="80">
        <v>0.20635899999999999</v>
      </c>
      <c r="L5" s="81">
        <v>0.207316</v>
      </c>
      <c r="M5" s="84">
        <v>7.6398952872405266</v>
      </c>
      <c r="N5" s="60">
        <v>4.75</v>
      </c>
      <c r="O5" s="61">
        <v>1.6083990078401109</v>
      </c>
      <c r="P5" s="61">
        <f t="shared" ref="P5:P6" si="0">G5/F5</f>
        <v>1.1225168107588857</v>
      </c>
      <c r="Q5" s="61">
        <f t="shared" ref="Q5:Q6" si="1">H5/F5</f>
        <v>0.99240153698366951</v>
      </c>
      <c r="R5" s="61">
        <f>I5/F5</f>
        <v>0.99470220941402498</v>
      </c>
      <c r="S5" s="61">
        <f>J5/F5</f>
        <v>0.99337656099903948</v>
      </c>
      <c r="T5" s="61">
        <f>K5/F5</f>
        <v>0.99115754082612872</v>
      </c>
      <c r="U5" s="59">
        <f>L5/F5</f>
        <v>0.99575408261287224</v>
      </c>
    </row>
    <row r="6" spans="4:31" x14ac:dyDescent="0.35">
      <c r="D6" s="38" t="s">
        <v>133</v>
      </c>
      <c r="E6" s="38" t="s">
        <v>172</v>
      </c>
      <c r="F6" s="64">
        <v>0.16020000000000001</v>
      </c>
      <c r="G6" s="58">
        <v>0.163803</v>
      </c>
      <c r="H6" s="82">
        <v>0.17516799999999999</v>
      </c>
      <c r="I6" s="80">
        <v>0.153166</v>
      </c>
      <c r="J6" s="80">
        <v>0.153171</v>
      </c>
      <c r="K6" s="81">
        <v>0.16117799999999999</v>
      </c>
      <c r="L6" s="81">
        <v>0.16117799999999999</v>
      </c>
      <c r="M6" s="84">
        <v>15.578446649136749</v>
      </c>
      <c r="N6" s="60">
        <v>19.75</v>
      </c>
      <c r="O6" s="59">
        <v>0.78878210881705058</v>
      </c>
      <c r="P6" s="61">
        <f t="shared" si="0"/>
        <v>1.0224906367041198</v>
      </c>
      <c r="Q6" s="61">
        <f t="shared" si="1"/>
        <v>1.0934332084893881</v>
      </c>
      <c r="R6" s="61">
        <f>I6/F6</f>
        <v>0.95609238451935075</v>
      </c>
      <c r="S6" s="61">
        <f>J6/F6</f>
        <v>0.95612359550561798</v>
      </c>
      <c r="T6" s="61">
        <f>K6/F6</f>
        <v>1.0061048689138576</v>
      </c>
      <c r="U6" s="59">
        <f>L6/F6</f>
        <v>1.0061048689138576</v>
      </c>
    </row>
    <row r="9" spans="4:31" x14ac:dyDescent="0.35">
      <c r="X9" s="62" t="s">
        <v>133</v>
      </c>
      <c r="Y9" s="62" t="s">
        <v>76</v>
      </c>
      <c r="Z9" s="62">
        <v>19.75</v>
      </c>
    </row>
    <row r="10" spans="4:31" ht="16" customHeight="1" x14ac:dyDescent="0.35">
      <c r="X10" s="62" t="s">
        <v>165</v>
      </c>
      <c r="Y10" s="62">
        <v>0</v>
      </c>
      <c r="Z10" s="62">
        <v>1</v>
      </c>
      <c r="AA10" s="62">
        <v>2</v>
      </c>
      <c r="AB10" s="62">
        <v>3</v>
      </c>
    </row>
    <row r="11" spans="4:31" x14ac:dyDescent="0.35">
      <c r="X11" s="62" t="s">
        <v>155</v>
      </c>
      <c r="Y11" s="62">
        <f>$Z$9*Y10</f>
        <v>0</v>
      </c>
      <c r="Z11" s="62">
        <f>$Z$9*Z10</f>
        <v>19.75</v>
      </c>
      <c r="AA11" s="62">
        <f>$Z$9*AA10</f>
        <v>39.5</v>
      </c>
      <c r="AB11" s="62">
        <f>$Z$9*AB10</f>
        <v>59.25</v>
      </c>
    </row>
    <row r="12" spans="4:31" x14ac:dyDescent="0.35">
      <c r="X12" s="62" t="s">
        <v>160</v>
      </c>
      <c r="Y12" s="38">
        <v>0.16020000000000001</v>
      </c>
      <c r="Z12" s="62"/>
      <c r="AA12" s="62"/>
      <c r="AB12" s="62"/>
    </row>
    <row r="13" spans="4:31" x14ac:dyDescent="0.35">
      <c r="X13" s="62" t="s">
        <v>161</v>
      </c>
      <c r="Y13" s="62">
        <f>Y12/$Y$12</f>
        <v>1</v>
      </c>
      <c r="Z13" s="62">
        <f t="shared" ref="Z13:AB13" si="2">Z12/$Y$12</f>
        <v>0</v>
      </c>
      <c r="AA13" s="62">
        <f t="shared" si="2"/>
        <v>0</v>
      </c>
      <c r="AB13" s="62">
        <f t="shared" si="2"/>
        <v>0</v>
      </c>
    </row>
    <row r="15" spans="4:31" x14ac:dyDescent="0.35">
      <c r="X15" s="86"/>
      <c r="Y15" s="87"/>
      <c r="Z15" s="88" t="s">
        <v>161</v>
      </c>
      <c r="AA15" s="88"/>
      <c r="AB15" s="88"/>
      <c r="AC15" s="88"/>
      <c r="AD15" s="88"/>
      <c r="AE15" s="88"/>
    </row>
    <row r="16" spans="4:31" x14ac:dyDescent="0.35">
      <c r="X16" s="52"/>
      <c r="Y16" s="52"/>
      <c r="Z16" s="89" t="s">
        <v>192</v>
      </c>
      <c r="AA16" s="88" t="s">
        <v>193</v>
      </c>
      <c r="AB16" s="88"/>
      <c r="AC16" s="88"/>
      <c r="AD16" s="88"/>
      <c r="AE16" s="88"/>
    </row>
    <row r="17" spans="24:31" ht="18.5" x14ac:dyDescent="0.35">
      <c r="X17" s="89" t="s">
        <v>167</v>
      </c>
      <c r="Y17" s="89" t="s">
        <v>168</v>
      </c>
      <c r="Z17" s="89" t="s">
        <v>194</v>
      </c>
      <c r="AA17" s="89" t="s">
        <v>195</v>
      </c>
      <c r="AB17" s="89" t="s">
        <v>196</v>
      </c>
      <c r="AC17" s="89" t="s">
        <v>197</v>
      </c>
      <c r="AD17" s="89" t="s">
        <v>198</v>
      </c>
      <c r="AE17" s="89" t="s">
        <v>199</v>
      </c>
    </row>
    <row r="18" spans="24:31" x14ac:dyDescent="0.35">
      <c r="X18" s="89" t="s">
        <v>131</v>
      </c>
      <c r="Y18" s="89" t="s">
        <v>170</v>
      </c>
      <c r="Z18" s="90">
        <v>1.014</v>
      </c>
      <c r="AA18" s="90">
        <v>0.997</v>
      </c>
      <c r="AB18" s="90">
        <v>0.998</v>
      </c>
      <c r="AC18" s="90">
        <v>0.98699999999999999</v>
      </c>
      <c r="AD18" s="90">
        <v>0.98699999999999999</v>
      </c>
      <c r="AE18" s="89">
        <v>1</v>
      </c>
    </row>
    <row r="19" spans="24:31" x14ac:dyDescent="0.35">
      <c r="X19" s="89" t="s">
        <v>132</v>
      </c>
      <c r="Y19" s="89" t="s">
        <v>171</v>
      </c>
      <c r="Z19" s="90">
        <v>1.123</v>
      </c>
      <c r="AA19" s="90">
        <v>0.99199999999999999</v>
      </c>
      <c r="AB19" s="90">
        <v>0.995</v>
      </c>
      <c r="AC19" s="90">
        <v>0.99299999999999999</v>
      </c>
      <c r="AD19" s="90">
        <v>0.99099999999999999</v>
      </c>
      <c r="AE19" s="89">
        <v>0.996</v>
      </c>
    </row>
    <row r="20" spans="24:31" x14ac:dyDescent="0.35">
      <c r="X20" s="89" t="s">
        <v>133</v>
      </c>
      <c r="Y20" s="89" t="s">
        <v>172</v>
      </c>
      <c r="Z20" s="90">
        <v>1.022</v>
      </c>
      <c r="AA20" s="90">
        <v>1.093</v>
      </c>
      <c r="AB20" s="90">
        <v>0.95599999999999996</v>
      </c>
      <c r="AC20" s="90">
        <v>0.95599999999999996</v>
      </c>
      <c r="AD20" s="90">
        <v>1.006</v>
      </c>
      <c r="AE20" s="89">
        <v>1.006</v>
      </c>
    </row>
  </sheetData>
  <mergeCells count="4">
    <mergeCell ref="Z15:AE15"/>
    <mergeCell ref="AA16:AE16"/>
    <mergeCell ref="H2:L2"/>
    <mergeCell ref="Q2:U2"/>
  </mergeCells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6C9A-23A9-4F6B-816B-C8B8135CB97D}">
  <dimension ref="C2:N9"/>
  <sheetViews>
    <sheetView workbookViewId="0">
      <selection activeCell="G17" sqref="G17"/>
    </sheetView>
  </sheetViews>
  <sheetFormatPr defaultRowHeight="14.5" x14ac:dyDescent="0.35"/>
  <cols>
    <col min="1" max="2" width="8.7265625" style="30"/>
    <col min="3" max="3" width="11.453125" style="34" customWidth="1"/>
    <col min="4" max="10" width="11.453125" style="30" customWidth="1"/>
    <col min="11" max="14" width="13.08984375" style="30" customWidth="1"/>
    <col min="15" max="16384" width="8.7265625" style="30"/>
  </cols>
  <sheetData>
    <row r="2" spans="3:14" ht="14.5" customHeight="1" x14ac:dyDescent="0.35">
      <c r="C2" s="33"/>
      <c r="D2" s="32"/>
      <c r="E2" s="32"/>
      <c r="F2" s="73" t="s">
        <v>112</v>
      </c>
      <c r="G2" s="73"/>
      <c r="H2" s="73"/>
    </row>
    <row r="3" spans="3:14" x14ac:dyDescent="0.35">
      <c r="C3" s="34" t="s">
        <v>3</v>
      </c>
      <c r="D3" s="30" t="s">
        <v>113</v>
      </c>
      <c r="E3" s="30" t="s">
        <v>114</v>
      </c>
      <c r="F3" s="30" t="s">
        <v>109</v>
      </c>
      <c r="G3" s="30" t="s">
        <v>110</v>
      </c>
      <c r="H3" s="30" t="s">
        <v>111</v>
      </c>
      <c r="I3" s="30" t="s">
        <v>115</v>
      </c>
      <c r="J3" s="30" t="s">
        <v>116</v>
      </c>
      <c r="K3" s="30" t="s">
        <v>117</v>
      </c>
      <c r="L3" s="30" t="s">
        <v>118</v>
      </c>
      <c r="M3" s="30" t="s">
        <v>117</v>
      </c>
      <c r="N3" s="30" t="s">
        <v>118</v>
      </c>
    </row>
    <row r="4" spans="3:14" x14ac:dyDescent="0.35">
      <c r="C4" s="34">
        <v>1</v>
      </c>
      <c r="D4" s="30">
        <v>0</v>
      </c>
      <c r="E4" s="30">
        <v>229.619</v>
      </c>
      <c r="F4" s="30">
        <v>580</v>
      </c>
      <c r="G4" s="31">
        <v>1712</v>
      </c>
      <c r="H4" s="30">
        <v>-0.2092</v>
      </c>
      <c r="I4" s="30">
        <f>D4/E4</f>
        <v>0</v>
      </c>
      <c r="J4" s="30">
        <f>(E4-D4)/2</f>
        <v>114.8095</v>
      </c>
      <c r="K4" s="34">
        <f>J4/(1-(J4/F4))</f>
        <v>143.14460419978482</v>
      </c>
      <c r="L4" s="34">
        <f>(K4/G4)^(1/H4)</f>
        <v>141797.05148929855</v>
      </c>
      <c r="M4" s="30">
        <f>G4*(N4)^H4</f>
        <v>249.2893701630689</v>
      </c>
      <c r="N4" s="30">
        <v>10000</v>
      </c>
    </row>
    <row r="5" spans="3:14" x14ac:dyDescent="0.35">
      <c r="C5" s="34">
        <v>2</v>
      </c>
      <c r="D5" s="30">
        <v>0</v>
      </c>
      <c r="E5" s="30">
        <v>247.04499999999999</v>
      </c>
      <c r="F5" s="30">
        <v>580</v>
      </c>
      <c r="G5" s="31">
        <v>1712</v>
      </c>
      <c r="H5" s="30">
        <v>-0.2092</v>
      </c>
      <c r="I5" s="30">
        <f t="shared" ref="I5:I6" si="0">D5/E5</f>
        <v>0</v>
      </c>
      <c r="J5" s="30">
        <f t="shared" ref="J5:J6" si="1">(E5-D5)/2</f>
        <v>123.52249999999999</v>
      </c>
      <c r="K5" s="34">
        <f t="shared" ref="K5:K6" si="2">J5/(1-(J5/F5))</f>
        <v>156.94760420831255</v>
      </c>
      <c r="L5" s="36">
        <f t="shared" ref="L5:L6" si="3">(K5/G5)^(1/H5)</f>
        <v>91318.676112559595</v>
      </c>
      <c r="M5" s="30">
        <f t="shared" ref="M5:M6" si="4">G5*(N5)^H5</f>
        <v>95.126991157716006</v>
      </c>
      <c r="N5" s="30">
        <v>1000000</v>
      </c>
    </row>
    <row r="6" spans="3:14" x14ac:dyDescent="0.35">
      <c r="C6" s="34">
        <v>3</v>
      </c>
      <c r="D6" s="30">
        <v>0</v>
      </c>
      <c r="E6" s="30">
        <v>71.254499999999993</v>
      </c>
      <c r="F6" s="30">
        <v>580</v>
      </c>
      <c r="G6" s="31">
        <v>1712</v>
      </c>
      <c r="H6" s="30">
        <v>-0.2092</v>
      </c>
      <c r="I6" s="30">
        <f t="shared" si="0"/>
        <v>0</v>
      </c>
      <c r="J6" s="30">
        <f t="shared" si="1"/>
        <v>35.627249999999997</v>
      </c>
      <c r="K6" s="34">
        <f t="shared" si="2"/>
        <v>37.958926121853082</v>
      </c>
      <c r="L6" s="35">
        <f t="shared" si="3"/>
        <v>80763888.76300773</v>
      </c>
      <c r="M6" s="30">
        <f t="shared" si="4"/>
        <v>22.423518556282627</v>
      </c>
      <c r="N6" s="30">
        <v>1000000000</v>
      </c>
    </row>
    <row r="9" spans="3:14" x14ac:dyDescent="0.35">
      <c r="L9" s="35"/>
    </row>
  </sheetData>
  <mergeCells count="1">
    <mergeCell ref="F2:H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0BB9-6A88-447C-A6B9-8E9F7583AFEF}">
  <dimension ref="C3:G11"/>
  <sheetViews>
    <sheetView zoomScale="85" zoomScaleNormal="85" workbookViewId="0">
      <selection activeCell="F14" sqref="F14"/>
    </sheetView>
  </sheetViews>
  <sheetFormatPr defaultRowHeight="15.5" x14ac:dyDescent="0.35"/>
  <cols>
    <col min="1" max="2" width="8.7265625" style="37"/>
    <col min="3" max="3" width="29.7265625" style="37" bestFit="1" customWidth="1"/>
    <col min="4" max="6" width="25.90625" style="37" customWidth="1"/>
    <col min="7" max="16384" width="8.7265625" style="37"/>
  </cols>
  <sheetData>
    <row r="3" spans="3:7" ht="31" x14ac:dyDescent="0.35">
      <c r="C3" s="38" t="s">
        <v>119</v>
      </c>
      <c r="D3" s="38" t="s">
        <v>125</v>
      </c>
      <c r="E3" s="38" t="s">
        <v>126</v>
      </c>
      <c r="F3" s="38" t="s">
        <v>127</v>
      </c>
    </row>
    <row r="4" spans="3:7" x14ac:dyDescent="0.35">
      <c r="C4" s="38" t="s">
        <v>120</v>
      </c>
      <c r="D4" s="38">
        <v>138.69399999999999</v>
      </c>
      <c r="E4" s="38">
        <v>138.69399999999999</v>
      </c>
      <c r="F4" s="38">
        <v>138.69399999999999</v>
      </c>
    </row>
    <row r="5" spans="3:7" x14ac:dyDescent="0.35">
      <c r="C5" s="38" t="s">
        <v>121</v>
      </c>
      <c r="D5" s="40">
        <v>229.619</v>
      </c>
      <c r="E5" s="40">
        <v>247.04499999999999</v>
      </c>
      <c r="F5" s="40">
        <v>71.254499999999993</v>
      </c>
    </row>
    <row r="6" spans="3:7" x14ac:dyDescent="0.35">
      <c r="C6" s="38" t="s">
        <v>122</v>
      </c>
      <c r="D6" s="38">
        <f>D5/D4</f>
        <v>1.6555799097293324</v>
      </c>
      <c r="E6" s="38">
        <f>E5/E4</f>
        <v>1.7812234126926905</v>
      </c>
      <c r="F6" s="38">
        <f>F5/F4</f>
        <v>0.51375329862863572</v>
      </c>
    </row>
    <row r="7" spans="3:7" x14ac:dyDescent="0.35">
      <c r="C7" s="38" t="s">
        <v>123</v>
      </c>
      <c r="D7" s="39">
        <v>141797</v>
      </c>
      <c r="E7" s="39">
        <v>91318</v>
      </c>
      <c r="F7" s="38" t="s">
        <v>124</v>
      </c>
    </row>
    <row r="9" spans="3:7" x14ac:dyDescent="0.35">
      <c r="G9" s="41"/>
    </row>
    <row r="10" spans="3:7" x14ac:dyDescent="0.35">
      <c r="G10" s="41"/>
    </row>
    <row r="11" spans="3:7" x14ac:dyDescent="0.35">
      <c r="G11" s="4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A2D5-C8AD-4B70-80B2-8A9E1E4701E2}">
  <dimension ref="B2:U34"/>
  <sheetViews>
    <sheetView topLeftCell="B1" workbookViewId="0">
      <selection activeCell="K2" sqref="K2:L34"/>
    </sheetView>
  </sheetViews>
  <sheetFormatPr defaultRowHeight="14.5" x14ac:dyDescent="0.35"/>
  <cols>
    <col min="1" max="16384" width="8.7265625" style="1"/>
  </cols>
  <sheetData>
    <row r="2" spans="2:21" x14ac:dyDescent="0.35">
      <c r="B2" s="1" t="s">
        <v>16</v>
      </c>
      <c r="E2" s="1" t="s">
        <v>17</v>
      </c>
      <c r="F2" s="1" t="s">
        <v>18</v>
      </c>
      <c r="H2" s="1" t="s">
        <v>9</v>
      </c>
      <c r="I2" s="1" t="s">
        <v>63</v>
      </c>
      <c r="K2" s="1" t="s">
        <v>17</v>
      </c>
      <c r="L2" s="1" t="s">
        <v>19</v>
      </c>
      <c r="N2" s="1" t="s">
        <v>64</v>
      </c>
      <c r="Q2" s="1" t="s">
        <v>70</v>
      </c>
      <c r="T2" s="1" t="s">
        <v>17</v>
      </c>
      <c r="U2" s="1" t="s">
        <v>71</v>
      </c>
    </row>
    <row r="3" spans="2:21" x14ac:dyDescent="0.35">
      <c r="B3" s="1" t="s">
        <v>15</v>
      </c>
      <c r="C3" s="1" t="s">
        <v>14</v>
      </c>
      <c r="E3" s="1" t="s">
        <v>15</v>
      </c>
      <c r="F3" s="1" t="s">
        <v>14</v>
      </c>
      <c r="H3" s="1" t="s">
        <v>15</v>
      </c>
      <c r="I3" s="1" t="s">
        <v>14</v>
      </c>
      <c r="K3" s="1" t="s">
        <v>15</v>
      </c>
      <c r="L3" s="1" t="s">
        <v>14</v>
      </c>
      <c r="N3" s="1" t="s">
        <v>15</v>
      </c>
      <c r="O3" s="1" t="s">
        <v>14</v>
      </c>
      <c r="Q3" s="1" t="s">
        <v>15</v>
      </c>
      <c r="R3" s="1" t="s">
        <v>14</v>
      </c>
      <c r="T3" s="1" t="s">
        <v>15</v>
      </c>
      <c r="U3" s="1" t="s">
        <v>14</v>
      </c>
    </row>
    <row r="4" spans="2:21" x14ac:dyDescent="0.35">
      <c r="B4" s="1">
        <v>0</v>
      </c>
      <c r="C4" s="1">
        <v>0</v>
      </c>
      <c r="E4" s="1">
        <v>0</v>
      </c>
      <c r="F4" s="1">
        <v>0</v>
      </c>
      <c r="H4" s="1">
        <v>0</v>
      </c>
      <c r="I4" s="1">
        <v>9.6000000000000002E-2</v>
      </c>
      <c r="K4" s="1">
        <v>0</v>
      </c>
      <c r="L4" s="1">
        <v>0</v>
      </c>
      <c r="N4" s="1">
        <v>0</v>
      </c>
      <c r="O4" s="1">
        <v>0.13200000000000001</v>
      </c>
      <c r="Q4" s="1">
        <v>0</v>
      </c>
      <c r="R4" s="1">
        <v>3.2000000000000001E-2</v>
      </c>
      <c r="T4" s="1">
        <v>0</v>
      </c>
      <c r="U4" s="1">
        <v>0</v>
      </c>
    </row>
    <row r="5" spans="2:21" x14ac:dyDescent="0.35">
      <c r="B5" s="1">
        <v>1.23244</v>
      </c>
      <c r="C5" s="1">
        <v>9.7113900000000003E-3</v>
      </c>
      <c r="E5" s="1">
        <v>1.23244</v>
      </c>
      <c r="F5" s="1">
        <v>9.7113900000000003E-3</v>
      </c>
      <c r="H5" s="1">
        <v>50</v>
      </c>
      <c r="I5" s="1">
        <v>9.6000000000000002E-2</v>
      </c>
      <c r="K5" s="1">
        <v>1.23244</v>
      </c>
      <c r="L5" s="1">
        <v>9.7113900000000003E-3</v>
      </c>
      <c r="N5" s="1">
        <v>50</v>
      </c>
      <c r="O5" s="1">
        <v>0.13200000000000001</v>
      </c>
      <c r="Q5" s="1">
        <v>50</v>
      </c>
      <c r="R5" s="1">
        <v>3.2000000000000001E-2</v>
      </c>
      <c r="T5" s="1">
        <v>1.23244</v>
      </c>
      <c r="U5" s="1">
        <v>9.7113900000000003E-3</v>
      </c>
    </row>
    <row r="6" spans="2:21" x14ac:dyDescent="0.35">
      <c r="B6" s="1">
        <v>2.4640499999999999</v>
      </c>
      <c r="C6" s="1">
        <v>1.8843499999999999E-2</v>
      </c>
      <c r="E6" s="1">
        <v>2.4640499999999999</v>
      </c>
      <c r="F6" s="1">
        <v>1.8843499999999999E-2</v>
      </c>
      <c r="K6" s="1">
        <v>2.4640499999999999</v>
      </c>
      <c r="L6" s="1">
        <v>1.8843499999999999E-2</v>
      </c>
      <c r="T6" s="1">
        <v>2.4640499999999999</v>
      </c>
      <c r="U6" s="1">
        <v>1.8843499999999999E-2</v>
      </c>
    </row>
    <row r="7" spans="2:21" x14ac:dyDescent="0.35">
      <c r="B7" s="1">
        <v>4.3101000000000003</v>
      </c>
      <c r="C7" s="1">
        <v>3.1506800000000001E-2</v>
      </c>
      <c r="E7" s="1">
        <v>4.3143399999999996</v>
      </c>
      <c r="F7" s="1">
        <v>2.6649800000000001E-2</v>
      </c>
      <c r="K7" s="1">
        <v>4.3101000000000003</v>
      </c>
      <c r="L7" s="1">
        <v>3.1506800000000001E-2</v>
      </c>
      <c r="T7" s="1">
        <v>4.3101000000000003</v>
      </c>
      <c r="U7" s="1">
        <v>3.1506800000000001E-2</v>
      </c>
    </row>
    <row r="8" spans="2:21" x14ac:dyDescent="0.35">
      <c r="B8" s="1">
        <v>7.0766</v>
      </c>
      <c r="C8" s="1">
        <v>4.8324300000000001E-2</v>
      </c>
      <c r="E8" s="1">
        <v>7.1024900000000004</v>
      </c>
      <c r="F8" s="1">
        <v>2.9209800000000001E-2</v>
      </c>
      <c r="K8" s="1">
        <v>7.0849099999999998</v>
      </c>
      <c r="L8" s="1">
        <v>4.09056E-2</v>
      </c>
      <c r="T8" s="1">
        <v>7.0766</v>
      </c>
      <c r="U8" s="1">
        <v>4.8324300000000001E-2</v>
      </c>
    </row>
    <row r="9" spans="2:21" x14ac:dyDescent="0.35">
      <c r="B9" s="1">
        <v>11.222200000000001</v>
      </c>
      <c r="C9" s="1">
        <v>6.9138400000000003E-2</v>
      </c>
      <c r="E9" s="1">
        <v>11.295999999999999</v>
      </c>
      <c r="F9" s="1">
        <v>2.9310699999999999E-2</v>
      </c>
      <c r="K9" s="1">
        <v>11.266299999999999</v>
      </c>
      <c r="L9" s="1">
        <v>4.3752300000000001E-2</v>
      </c>
      <c r="T9" s="1">
        <v>11.222200000000001</v>
      </c>
      <c r="U9" s="1">
        <v>6.9138400000000003E-2</v>
      </c>
    </row>
    <row r="10" spans="2:21" x14ac:dyDescent="0.35">
      <c r="B10" s="1">
        <v>17.435700000000001</v>
      </c>
      <c r="C10" s="1">
        <v>9.1933799999999996E-2</v>
      </c>
      <c r="E10" s="1">
        <v>15.493399999999999</v>
      </c>
      <c r="F10" s="1">
        <v>2.8333500000000001E-2</v>
      </c>
      <c r="K10" s="1">
        <v>13.6248</v>
      </c>
      <c r="L10" s="1">
        <v>4.3619499999999999E-2</v>
      </c>
      <c r="T10" s="1">
        <v>17.4436</v>
      </c>
      <c r="U10" s="1">
        <v>8.5688E-2</v>
      </c>
    </row>
    <row r="11" spans="2:21" x14ac:dyDescent="0.35">
      <c r="B11" s="1">
        <v>26.7559</v>
      </c>
      <c r="C11" s="1">
        <v>0.111488</v>
      </c>
      <c r="E11" s="1">
        <v>19.691800000000001</v>
      </c>
      <c r="F11" s="1">
        <v>2.7128800000000002E-2</v>
      </c>
      <c r="K11" s="1">
        <v>17.163399999999999</v>
      </c>
      <c r="L11" s="1">
        <v>4.3055499999999997E-2</v>
      </c>
      <c r="T11" s="1">
        <v>20.960999999999999</v>
      </c>
      <c r="U11" s="1">
        <v>8.8211300000000006E-2</v>
      </c>
    </row>
    <row r="12" spans="2:21" x14ac:dyDescent="0.35">
      <c r="B12" s="1">
        <v>40.758800000000001</v>
      </c>
      <c r="C12" s="1">
        <v>0.11880499999999999</v>
      </c>
      <c r="E12" s="1">
        <v>23.889500000000002</v>
      </c>
      <c r="F12" s="1">
        <v>2.58771E-2</v>
      </c>
      <c r="K12" s="1">
        <v>22.485600000000002</v>
      </c>
      <c r="L12" s="1">
        <v>4.1103899999999999E-2</v>
      </c>
      <c r="T12" s="1">
        <v>22.942599999999999</v>
      </c>
      <c r="U12" s="1">
        <v>8.8727E-2</v>
      </c>
    </row>
    <row r="13" spans="2:21" x14ac:dyDescent="0.35">
      <c r="B13" s="1">
        <v>43.468400000000003</v>
      </c>
      <c r="C13" s="1">
        <v>0.118146</v>
      </c>
      <c r="E13" s="1">
        <v>28.0883</v>
      </c>
      <c r="F13" s="1">
        <v>2.4600299999999999E-2</v>
      </c>
      <c r="K13" s="1">
        <v>27.8125</v>
      </c>
      <c r="L13" s="1">
        <v>3.8865700000000003E-2</v>
      </c>
      <c r="T13" s="1">
        <v>24.058199999999999</v>
      </c>
      <c r="U13" s="1">
        <v>8.8697100000000001E-2</v>
      </c>
    </row>
    <row r="14" spans="2:21" x14ac:dyDescent="0.35">
      <c r="B14" s="1">
        <v>46.985799999999998</v>
      </c>
      <c r="C14" s="1">
        <v>0.116559</v>
      </c>
      <c r="E14" s="1">
        <v>32.286900000000003</v>
      </c>
      <c r="F14" s="1">
        <v>2.3291300000000001E-2</v>
      </c>
      <c r="K14" s="1">
        <v>32.968299999999999</v>
      </c>
      <c r="L14" s="1">
        <v>3.6612800000000001E-2</v>
      </c>
      <c r="T14" s="1">
        <v>25.733000000000001</v>
      </c>
      <c r="U14" s="1">
        <v>8.8532899999999998E-2</v>
      </c>
    </row>
    <row r="15" spans="2:21" x14ac:dyDescent="0.35">
      <c r="B15" s="1">
        <v>50.507199999999997</v>
      </c>
      <c r="C15" s="1">
        <v>0.114258</v>
      </c>
      <c r="E15" s="1">
        <v>36.636600000000001</v>
      </c>
      <c r="F15" s="1">
        <v>2.19256E-2</v>
      </c>
      <c r="K15" s="1">
        <v>38.526499999999999</v>
      </c>
      <c r="L15" s="1">
        <v>3.4152099999999998E-2</v>
      </c>
      <c r="T15" s="1">
        <v>26.580200000000001</v>
      </c>
      <c r="U15" s="1">
        <v>8.8383000000000003E-2</v>
      </c>
    </row>
    <row r="16" spans="2:21" x14ac:dyDescent="0.35">
      <c r="B16" s="1">
        <v>55.796799999999998</v>
      </c>
      <c r="C16" s="1">
        <v>0.10970299999999999</v>
      </c>
      <c r="E16" s="1">
        <v>37.683100000000003</v>
      </c>
      <c r="F16" s="1">
        <v>2.1601800000000001E-2</v>
      </c>
      <c r="K16" s="1">
        <v>39.853700000000003</v>
      </c>
      <c r="L16" s="1">
        <v>3.3564799999999999E-2</v>
      </c>
      <c r="T16" s="1">
        <v>27.749300000000002</v>
      </c>
      <c r="U16" s="1">
        <v>8.7529200000000001E-2</v>
      </c>
    </row>
    <row r="17" spans="2:21" x14ac:dyDescent="0.35">
      <c r="B17" s="1">
        <v>63.747900000000001</v>
      </c>
      <c r="C17" s="1">
        <v>0.100983</v>
      </c>
      <c r="E17" s="1">
        <v>38.729599999999998</v>
      </c>
      <c r="F17" s="1">
        <v>2.12794E-2</v>
      </c>
      <c r="K17" s="1">
        <v>41.180599999999998</v>
      </c>
      <c r="L17" s="1">
        <v>3.2970899999999997E-2</v>
      </c>
      <c r="T17" s="1">
        <v>28.029299999999999</v>
      </c>
      <c r="U17" s="1">
        <v>8.7281700000000004E-2</v>
      </c>
    </row>
    <row r="18" spans="2:21" x14ac:dyDescent="0.35">
      <c r="B18" s="1">
        <v>75.711799999999997</v>
      </c>
      <c r="C18" s="1">
        <v>8.5246600000000006E-2</v>
      </c>
      <c r="E18" s="1">
        <v>40.298900000000003</v>
      </c>
      <c r="F18" s="1">
        <v>2.0799000000000002E-2</v>
      </c>
      <c r="K18" s="1">
        <v>43.168799999999997</v>
      </c>
      <c r="L18" s="1">
        <v>3.2063500000000002E-2</v>
      </c>
      <c r="T18" s="1">
        <v>28.308700000000002</v>
      </c>
      <c r="U18" s="1">
        <v>8.7017700000000003E-2</v>
      </c>
    </row>
    <row r="19" spans="2:21" x14ac:dyDescent="0.35">
      <c r="B19" s="1">
        <v>93.743399999999994</v>
      </c>
      <c r="C19" s="1">
        <v>5.9526200000000001E-2</v>
      </c>
      <c r="E19" s="1">
        <v>42.651899999999998</v>
      </c>
      <c r="F19" s="1">
        <v>2.00877E-2</v>
      </c>
      <c r="K19" s="1">
        <v>46.148000000000003</v>
      </c>
      <c r="L19" s="1">
        <v>3.06775E-2</v>
      </c>
      <c r="T19" s="1">
        <v>28.681799999999999</v>
      </c>
      <c r="U19" s="1">
        <v>8.65369E-2</v>
      </c>
    </row>
    <row r="20" spans="2:21" x14ac:dyDescent="0.35">
      <c r="B20" s="1">
        <v>120.99299999999999</v>
      </c>
      <c r="C20" s="1">
        <v>2.4351500000000002E-2</v>
      </c>
      <c r="E20" s="1">
        <v>45.004600000000003</v>
      </c>
      <c r="F20" s="1">
        <v>1.93878E-2</v>
      </c>
      <c r="K20" s="1">
        <v>49.124699999999997</v>
      </c>
      <c r="L20" s="1">
        <v>2.92854E-2</v>
      </c>
      <c r="T20" s="1">
        <v>28.753299999999999</v>
      </c>
      <c r="U20" s="1">
        <v>8.6382E-2</v>
      </c>
    </row>
    <row r="21" spans="2:21" x14ac:dyDescent="0.35">
      <c r="E21" s="1">
        <v>47.3581</v>
      </c>
      <c r="F21" s="1">
        <v>1.8698200000000002E-2</v>
      </c>
      <c r="K21" s="1">
        <v>52.101599999999998</v>
      </c>
      <c r="L21" s="1">
        <v>2.7898099999999999E-2</v>
      </c>
      <c r="T21" s="1">
        <v>28.805499999999999</v>
      </c>
      <c r="U21" s="1">
        <v>8.6191900000000002E-2</v>
      </c>
    </row>
    <row r="22" spans="2:21" x14ac:dyDescent="0.35">
      <c r="E22" s="1">
        <v>49.712200000000003</v>
      </c>
      <c r="F22" s="1">
        <v>1.80178E-2</v>
      </c>
      <c r="K22" s="1">
        <v>55.078699999999998</v>
      </c>
      <c r="L22" s="1">
        <v>2.6527999999999999E-2</v>
      </c>
      <c r="T22" s="1">
        <v>28.839200000000002</v>
      </c>
      <c r="U22" s="1">
        <v>8.5826600000000003E-2</v>
      </c>
    </row>
    <row r="23" spans="2:21" x14ac:dyDescent="0.35">
      <c r="E23" s="1">
        <v>52.066699999999997</v>
      </c>
      <c r="F23" s="1">
        <v>1.7345699999999999E-2</v>
      </c>
      <c r="K23" s="1">
        <v>58.058399999999999</v>
      </c>
      <c r="L23" s="1">
        <v>2.5206800000000001E-2</v>
      </c>
      <c r="T23" s="1">
        <v>28.773299999999999</v>
      </c>
      <c r="U23" s="1">
        <v>8.5070199999999999E-2</v>
      </c>
    </row>
    <row r="24" spans="2:21" x14ac:dyDescent="0.35">
      <c r="E24" s="1">
        <v>54.421900000000001</v>
      </c>
      <c r="F24" s="1">
        <v>1.6682499999999999E-2</v>
      </c>
      <c r="K24" s="1">
        <v>61.041600000000003</v>
      </c>
      <c r="L24" s="1">
        <v>2.3975E-2</v>
      </c>
      <c r="T24" s="1">
        <v>28.606100000000001</v>
      </c>
      <c r="U24" s="1">
        <v>8.4450700000000004E-2</v>
      </c>
    </row>
    <row r="25" spans="2:21" x14ac:dyDescent="0.35">
      <c r="E25" s="1">
        <v>56.7789</v>
      </c>
      <c r="F25" s="1">
        <v>1.6038E-2</v>
      </c>
      <c r="K25" s="1">
        <v>64.029700000000005</v>
      </c>
      <c r="L25" s="1">
        <v>2.2869500000000001E-2</v>
      </c>
      <c r="T25" s="1">
        <v>28.536200000000001</v>
      </c>
      <c r="U25" s="1">
        <v>8.4265300000000001E-2</v>
      </c>
    </row>
    <row r="26" spans="2:21" x14ac:dyDescent="0.35">
      <c r="E26" s="1">
        <v>59.137599999999999</v>
      </c>
      <c r="F26" s="1">
        <v>1.5427E-2</v>
      </c>
      <c r="K26" s="1">
        <v>67.022000000000006</v>
      </c>
      <c r="L26" s="1">
        <v>2.1920499999999999E-2</v>
      </c>
      <c r="T26" s="1">
        <v>28.452500000000001</v>
      </c>
      <c r="U26" s="1">
        <v>8.4063399999999996E-2</v>
      </c>
    </row>
    <row r="27" spans="2:21" x14ac:dyDescent="0.35">
      <c r="E27" s="1">
        <v>61.498699999999999</v>
      </c>
      <c r="F27" s="1">
        <v>1.48662E-2</v>
      </c>
      <c r="K27" s="1">
        <v>70.018299999999996</v>
      </c>
      <c r="L27" s="1">
        <v>2.1151799999999998E-2</v>
      </c>
      <c r="T27" s="1">
        <v>28.2837</v>
      </c>
      <c r="U27" s="1">
        <v>8.3690700000000007E-2</v>
      </c>
    </row>
    <row r="28" spans="2:21" x14ac:dyDescent="0.35">
      <c r="E28" s="1">
        <v>63.862499999999997</v>
      </c>
      <c r="F28" s="1">
        <v>1.43728E-2</v>
      </c>
      <c r="K28" s="1">
        <v>73.018600000000006</v>
      </c>
      <c r="L28" s="1">
        <v>2.0579799999999999E-2</v>
      </c>
      <c r="T28" s="1">
        <v>28.052099999999999</v>
      </c>
      <c r="U28" s="1">
        <v>8.3204399999999998E-2</v>
      </c>
    </row>
    <row r="29" spans="2:21" x14ac:dyDescent="0.35">
      <c r="E29" s="1">
        <v>66.228800000000007</v>
      </c>
      <c r="F29" s="1">
        <v>1.3961599999999999E-2</v>
      </c>
      <c r="K29" s="1">
        <v>76.023499999999999</v>
      </c>
      <c r="L29" s="1">
        <v>2.0176199999999998E-2</v>
      </c>
      <c r="T29" s="1">
        <v>27.908100000000001</v>
      </c>
      <c r="U29" s="1">
        <v>8.2902600000000007E-2</v>
      </c>
    </row>
    <row r="30" spans="2:21" x14ac:dyDescent="0.35">
      <c r="E30" s="1">
        <v>69.778700000000001</v>
      </c>
      <c r="F30" s="1">
        <v>1.35266E-2</v>
      </c>
      <c r="K30" s="1">
        <v>80.535200000000003</v>
      </c>
      <c r="L30" s="1">
        <v>1.96566E-2</v>
      </c>
      <c r="T30" s="1">
        <v>27.687799999999999</v>
      </c>
      <c r="U30" s="1">
        <v>8.2431099999999993E-2</v>
      </c>
    </row>
    <row r="31" spans="2:21" x14ac:dyDescent="0.35">
      <c r="E31" s="1">
        <v>73.324700000000007</v>
      </c>
      <c r="F31" s="1">
        <v>1.33379E-2</v>
      </c>
      <c r="K31" s="1">
        <v>85.058800000000005</v>
      </c>
      <c r="L31" s="1">
        <v>1.91389E-2</v>
      </c>
      <c r="T31" s="1">
        <v>27.359200000000001</v>
      </c>
      <c r="U31" s="1">
        <v>8.1694699999999995E-2</v>
      </c>
    </row>
    <row r="32" spans="2:21" x14ac:dyDescent="0.35">
      <c r="E32" s="1">
        <v>74.124799999999993</v>
      </c>
      <c r="F32" s="1">
        <v>1.33238E-2</v>
      </c>
      <c r="K32" s="1">
        <v>89.589799999999997</v>
      </c>
      <c r="L32" s="1">
        <v>1.89047E-2</v>
      </c>
      <c r="T32" s="1">
        <v>27.167200000000001</v>
      </c>
      <c r="U32" s="1">
        <v>8.1242499999999995E-2</v>
      </c>
    </row>
    <row r="33" spans="5:21" x14ac:dyDescent="0.35">
      <c r="E33" s="1">
        <v>74.921199999999999</v>
      </c>
      <c r="F33" s="1">
        <v>1.3268500000000001E-2</v>
      </c>
      <c r="K33" s="1">
        <v>93.763499999999993</v>
      </c>
      <c r="L33" s="1">
        <v>1.9008000000000001E-2</v>
      </c>
      <c r="T33" s="1">
        <v>26.876999999999999</v>
      </c>
      <c r="U33" s="1">
        <v>8.0529400000000001E-2</v>
      </c>
    </row>
    <row r="34" spans="5:21" x14ac:dyDescent="0.35">
      <c r="K34" s="1">
        <v>98.299199999999999</v>
      </c>
      <c r="L34" s="1">
        <v>1.9503400000000001E-2</v>
      </c>
      <c r="T34" s="1">
        <v>26.715</v>
      </c>
      <c r="U34" s="1">
        <v>8.0116099999999996E-2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C197B-1D6D-4987-AED7-822F1E1760F4}">
  <dimension ref="B3:Q28"/>
  <sheetViews>
    <sheetView topLeftCell="C1" workbookViewId="0">
      <selection activeCell="R20" sqref="R20"/>
    </sheetView>
  </sheetViews>
  <sheetFormatPr defaultRowHeight="14.5" x14ac:dyDescent="0.35"/>
  <cols>
    <col min="1" max="1" width="8.7265625" style="10"/>
    <col min="2" max="2" width="4.54296875" style="10" customWidth="1"/>
    <col min="3" max="16384" width="8.7265625" style="10"/>
  </cols>
  <sheetData>
    <row r="3" spans="2:17" x14ac:dyDescent="0.35">
      <c r="C3" s="14" t="s">
        <v>73</v>
      </c>
      <c r="F3" s="76" t="s">
        <v>79</v>
      </c>
      <c r="G3" s="76"/>
      <c r="H3" s="76"/>
      <c r="I3" s="77" t="s">
        <v>66</v>
      </c>
      <c r="J3" s="77"/>
      <c r="K3" s="77"/>
      <c r="L3" s="75" t="s">
        <v>67</v>
      </c>
      <c r="M3" s="75"/>
      <c r="N3" s="75"/>
      <c r="O3" s="74" t="s">
        <v>68</v>
      </c>
      <c r="P3" s="74"/>
      <c r="Q3" s="74"/>
    </row>
    <row r="4" spans="2:17" x14ac:dyDescent="0.35">
      <c r="F4" s="76" t="s">
        <v>78</v>
      </c>
      <c r="G4" s="76"/>
      <c r="H4" s="76"/>
      <c r="I4" s="77" t="s">
        <v>78</v>
      </c>
      <c r="J4" s="77"/>
      <c r="K4" s="77"/>
      <c r="L4" s="75" t="s">
        <v>78</v>
      </c>
      <c r="M4" s="75"/>
      <c r="N4" s="75"/>
      <c r="O4" s="74" t="s">
        <v>78</v>
      </c>
      <c r="P4" s="74"/>
      <c r="Q4" s="74"/>
    </row>
    <row r="5" spans="2:17" x14ac:dyDescent="0.35">
      <c r="B5" s="19" t="s">
        <v>80</v>
      </c>
      <c r="C5" s="19" t="s">
        <v>76</v>
      </c>
      <c r="D5" s="19" t="s">
        <v>75</v>
      </c>
      <c r="E5" s="19" t="s">
        <v>74</v>
      </c>
      <c r="F5" s="16">
        <v>170</v>
      </c>
      <c r="G5" s="16">
        <v>207</v>
      </c>
      <c r="H5" s="16">
        <v>700</v>
      </c>
      <c r="I5" s="17">
        <v>170</v>
      </c>
      <c r="J5" s="17">
        <v>207</v>
      </c>
      <c r="K5" s="17">
        <v>700</v>
      </c>
      <c r="L5" s="18">
        <v>170</v>
      </c>
      <c r="M5" s="18">
        <v>207</v>
      </c>
      <c r="N5" s="18">
        <v>700</v>
      </c>
      <c r="O5" s="19">
        <v>170</v>
      </c>
      <c r="P5" s="19">
        <v>207</v>
      </c>
      <c r="Q5" s="19">
        <v>700</v>
      </c>
    </row>
    <row r="6" spans="2:17" x14ac:dyDescent="0.35">
      <c r="B6" s="11">
        <v>1</v>
      </c>
      <c r="C6" s="11">
        <v>4.75</v>
      </c>
      <c r="D6" s="11">
        <v>3000</v>
      </c>
      <c r="E6" s="11">
        <f>C6/D6</f>
        <v>1.5833333333333333E-3</v>
      </c>
      <c r="F6" s="12">
        <v>2.9310699999999999E-2</v>
      </c>
      <c r="G6" s="12">
        <v>3.4848799999999999E-2</v>
      </c>
      <c r="H6" s="12">
        <v>8.8727E-2</v>
      </c>
      <c r="I6" s="15">
        <v>6.7100000000000007E-2</v>
      </c>
      <c r="J6" s="15">
        <v>6.8699250000000003E-2</v>
      </c>
      <c r="K6" s="15">
        <v>6.6332639999999998E-2</v>
      </c>
      <c r="L6" s="13">
        <v>0.1244</v>
      </c>
      <c r="M6" s="13">
        <v>0.1244</v>
      </c>
      <c r="N6" s="13">
        <v>0.1244</v>
      </c>
      <c r="O6" s="11">
        <v>0.106</v>
      </c>
      <c r="P6" s="11">
        <v>0.107</v>
      </c>
      <c r="Q6" s="11">
        <v>0.108</v>
      </c>
    </row>
    <row r="7" spans="2:17" x14ac:dyDescent="0.35">
      <c r="B7" s="11">
        <v>2</v>
      </c>
      <c r="C7" s="11">
        <v>5.19</v>
      </c>
      <c r="D7" s="11">
        <v>3000</v>
      </c>
      <c r="E7" s="11">
        <f t="shared" ref="E7:E10" si="0">C7/D7</f>
        <v>1.7300000000000002E-3</v>
      </c>
      <c r="F7" s="12">
        <v>3.38245E-2</v>
      </c>
      <c r="G7" s="12">
        <v>4.0023499999999997E-2</v>
      </c>
      <c r="H7" s="12">
        <v>0.102938</v>
      </c>
      <c r="I7" s="15">
        <v>7.9234763999999999E-2</v>
      </c>
      <c r="J7" s="15"/>
      <c r="K7" s="15"/>
      <c r="L7" s="13">
        <v>0.14851</v>
      </c>
      <c r="M7" s="13">
        <v>0.14851</v>
      </c>
      <c r="N7" s="13">
        <v>0.14851</v>
      </c>
      <c r="O7" s="11">
        <v>0.13100000000000001</v>
      </c>
      <c r="P7" s="11">
        <v>0.13200000000000001</v>
      </c>
      <c r="Q7" s="11">
        <v>0.13400000000000001</v>
      </c>
    </row>
    <row r="8" spans="2:17" x14ac:dyDescent="0.35">
      <c r="B8" s="11">
        <v>3</v>
      </c>
      <c r="C8" s="11">
        <v>5.63</v>
      </c>
      <c r="D8" s="11">
        <v>3000</v>
      </c>
      <c r="E8" s="11">
        <f t="shared" si="0"/>
        <v>1.8766666666666667E-3</v>
      </c>
      <c r="F8" s="12">
        <v>3.8292600000000003E-2</v>
      </c>
      <c r="G8" s="12">
        <v>4.5228600000000001E-2</v>
      </c>
      <c r="H8" s="12">
        <v>0.11228100000000001</v>
      </c>
      <c r="I8" s="15"/>
      <c r="J8" s="15"/>
      <c r="K8" s="15"/>
      <c r="L8" s="13">
        <v>0.17476</v>
      </c>
      <c r="M8" s="13">
        <v>0.17476</v>
      </c>
      <c r="N8" s="13">
        <v>0.17476</v>
      </c>
      <c r="O8" s="11">
        <v>0.159</v>
      </c>
      <c r="P8" s="11">
        <v>0.16</v>
      </c>
      <c r="Q8" s="11">
        <v>0.16300000000000001</v>
      </c>
    </row>
    <row r="9" spans="2:17" x14ac:dyDescent="0.35">
      <c r="B9" s="11">
        <v>4</v>
      </c>
      <c r="C9" s="11">
        <v>6.07</v>
      </c>
      <c r="D9" s="11">
        <v>3000</v>
      </c>
      <c r="E9" s="11">
        <f t="shared" si="0"/>
        <v>2.0233333333333336E-3</v>
      </c>
      <c r="F9" s="12">
        <v>4.2783799999999997E-2</v>
      </c>
      <c r="G9" s="12">
        <v>5.1221200000000001E-2</v>
      </c>
      <c r="H9" s="12">
        <v>0.13275000000000001</v>
      </c>
      <c r="I9" s="15"/>
      <c r="J9" s="15"/>
      <c r="K9" s="15"/>
      <c r="L9" s="13">
        <v>0.20313999999999999</v>
      </c>
      <c r="M9" s="13">
        <v>0.20313999999999999</v>
      </c>
      <c r="N9" s="13">
        <v>0.20313999999999999</v>
      </c>
      <c r="O9" s="11">
        <v>0.189</v>
      </c>
      <c r="P9" s="11">
        <v>0.191</v>
      </c>
      <c r="Q9" s="11">
        <v>0.19600000000000001</v>
      </c>
    </row>
    <row r="10" spans="2:17" x14ac:dyDescent="0.35">
      <c r="B10" s="11">
        <v>5</v>
      </c>
      <c r="C10" s="11">
        <v>6.51</v>
      </c>
      <c r="D10" s="11">
        <v>3000</v>
      </c>
      <c r="E10" s="11">
        <f t="shared" si="0"/>
        <v>2.1700000000000001E-3</v>
      </c>
      <c r="F10" s="12">
        <v>4.7885999999999998E-2</v>
      </c>
      <c r="G10" s="12">
        <v>5.72656E-2</v>
      </c>
      <c r="H10" s="12">
        <v>0.150176</v>
      </c>
      <c r="I10" s="15"/>
      <c r="J10" s="15"/>
      <c r="K10" s="15"/>
      <c r="L10" s="13">
        <v>0.23366000000000001</v>
      </c>
      <c r="M10" s="13">
        <v>0.23366000000000001</v>
      </c>
      <c r="N10" s="13">
        <v>0.23366000000000001</v>
      </c>
      <c r="O10" s="11">
        <v>0.222</v>
      </c>
      <c r="P10" s="11">
        <v>0.22500000000000001</v>
      </c>
      <c r="Q10" s="11">
        <v>0.23200000000000001</v>
      </c>
    </row>
    <row r="12" spans="2:17" x14ac:dyDescent="0.35">
      <c r="C12" s="14" t="s">
        <v>81</v>
      </c>
      <c r="F12" s="76" t="s">
        <v>79</v>
      </c>
      <c r="G12" s="76"/>
      <c r="H12" s="76"/>
      <c r="I12" s="77" t="s">
        <v>66</v>
      </c>
      <c r="J12" s="77"/>
      <c r="K12" s="77"/>
      <c r="L12" s="75" t="s">
        <v>67</v>
      </c>
      <c r="M12" s="75"/>
      <c r="N12" s="75"/>
      <c r="O12" s="74" t="s">
        <v>68</v>
      </c>
      <c r="P12" s="74"/>
      <c r="Q12" s="74"/>
    </row>
    <row r="13" spans="2:17" x14ac:dyDescent="0.35">
      <c r="F13" s="76" t="s">
        <v>78</v>
      </c>
      <c r="G13" s="76"/>
      <c r="H13" s="76"/>
      <c r="I13" s="77" t="s">
        <v>78</v>
      </c>
      <c r="J13" s="77"/>
      <c r="K13" s="77"/>
      <c r="L13" s="75" t="s">
        <v>78</v>
      </c>
      <c r="M13" s="75"/>
      <c r="N13" s="75"/>
      <c r="O13" s="74" t="s">
        <v>78</v>
      </c>
      <c r="P13" s="74"/>
      <c r="Q13" s="74"/>
    </row>
    <row r="14" spans="2:17" x14ac:dyDescent="0.35">
      <c r="B14" s="19" t="s">
        <v>80</v>
      </c>
      <c r="C14" s="19" t="s">
        <v>76</v>
      </c>
      <c r="D14" s="19" t="s">
        <v>75</v>
      </c>
      <c r="E14" s="19" t="s">
        <v>74</v>
      </c>
      <c r="F14" s="16">
        <v>170</v>
      </c>
      <c r="G14" s="16">
        <v>207</v>
      </c>
      <c r="H14" s="16">
        <v>700</v>
      </c>
      <c r="I14" s="17">
        <v>170</v>
      </c>
      <c r="J14" s="17">
        <v>207</v>
      </c>
      <c r="K14" s="17">
        <v>700</v>
      </c>
      <c r="L14" s="18">
        <v>170</v>
      </c>
      <c r="M14" s="18">
        <v>207</v>
      </c>
      <c r="N14" s="18">
        <v>700</v>
      </c>
      <c r="O14" s="19">
        <v>170</v>
      </c>
      <c r="P14" s="19">
        <v>207</v>
      </c>
      <c r="Q14" s="19">
        <v>700</v>
      </c>
    </row>
    <row r="15" spans="2:17" x14ac:dyDescent="0.35">
      <c r="B15" s="11">
        <v>1</v>
      </c>
      <c r="C15" s="11">
        <v>4.75</v>
      </c>
      <c r="D15" s="11">
        <v>3000</v>
      </c>
      <c r="E15" s="11">
        <f>C15/D15</f>
        <v>1.5833333333333333E-3</v>
      </c>
      <c r="F15" s="12"/>
      <c r="G15" s="12"/>
      <c r="H15" s="12"/>
      <c r="I15" s="15"/>
      <c r="J15" s="15"/>
      <c r="K15" s="15"/>
      <c r="L15" s="13"/>
      <c r="M15" s="13"/>
      <c r="N15" s="13"/>
      <c r="O15" s="11"/>
      <c r="P15" s="11"/>
      <c r="Q15" s="11"/>
    </row>
    <row r="16" spans="2:17" x14ac:dyDescent="0.35">
      <c r="B16" s="11">
        <v>2</v>
      </c>
      <c r="C16" s="11">
        <v>5.19</v>
      </c>
      <c r="D16" s="11">
        <v>3000</v>
      </c>
      <c r="E16" s="11">
        <f t="shared" ref="E16:E19" si="1">C16/D16</f>
        <v>1.7300000000000002E-3</v>
      </c>
      <c r="F16" s="12"/>
      <c r="G16" s="12"/>
      <c r="H16" s="12"/>
      <c r="I16" s="15"/>
      <c r="J16" s="15"/>
      <c r="K16" s="15"/>
      <c r="L16" s="13"/>
      <c r="M16" s="13"/>
      <c r="N16" s="13"/>
      <c r="O16" s="11"/>
      <c r="P16" s="11"/>
      <c r="Q16" s="11"/>
    </row>
    <row r="17" spans="2:17" x14ac:dyDescent="0.35">
      <c r="B17" s="11">
        <v>3</v>
      </c>
      <c r="C17" s="11">
        <v>5.63</v>
      </c>
      <c r="D17" s="11">
        <v>3000</v>
      </c>
      <c r="E17" s="11">
        <f t="shared" si="1"/>
        <v>1.8766666666666667E-3</v>
      </c>
      <c r="F17" s="12"/>
      <c r="G17" s="12"/>
      <c r="H17" s="12"/>
      <c r="I17" s="15"/>
      <c r="J17" s="15"/>
      <c r="K17" s="15"/>
      <c r="L17" s="13"/>
      <c r="M17" s="13"/>
      <c r="N17" s="13"/>
      <c r="O17" s="11"/>
      <c r="P17" s="11"/>
      <c r="Q17" s="11"/>
    </row>
    <row r="18" spans="2:17" x14ac:dyDescent="0.35">
      <c r="B18" s="11">
        <v>4</v>
      </c>
      <c r="C18" s="11">
        <v>6.07</v>
      </c>
      <c r="D18" s="11">
        <v>3000</v>
      </c>
      <c r="E18" s="11">
        <f t="shared" si="1"/>
        <v>2.0233333333333336E-3</v>
      </c>
      <c r="F18" s="12"/>
      <c r="G18" s="12"/>
      <c r="H18" s="12"/>
      <c r="I18" s="15"/>
      <c r="J18" s="15"/>
      <c r="K18" s="15"/>
      <c r="L18" s="13"/>
      <c r="M18" s="13"/>
      <c r="N18" s="13"/>
      <c r="O18" s="11"/>
      <c r="P18" s="11"/>
      <c r="Q18" s="11"/>
    </row>
    <row r="19" spans="2:17" x14ac:dyDescent="0.35">
      <c r="B19" s="11">
        <v>5</v>
      </c>
      <c r="C19" s="11">
        <v>6.51</v>
      </c>
      <c r="D19" s="11">
        <v>3000</v>
      </c>
      <c r="E19" s="11">
        <f t="shared" si="1"/>
        <v>2.1700000000000001E-3</v>
      </c>
      <c r="F19" s="12"/>
      <c r="G19" s="12"/>
      <c r="H19" s="12"/>
      <c r="I19" s="15"/>
      <c r="J19" s="15"/>
      <c r="K19" s="15"/>
      <c r="L19" s="13"/>
      <c r="M19" s="13"/>
      <c r="N19" s="13"/>
      <c r="O19" s="11"/>
      <c r="P19" s="11"/>
      <c r="Q19" s="11"/>
    </row>
    <row r="21" spans="2:17" x14ac:dyDescent="0.35">
      <c r="C21" s="14" t="s">
        <v>82</v>
      </c>
      <c r="F21" s="76" t="s">
        <v>79</v>
      </c>
      <c r="G21" s="76"/>
      <c r="H21" s="76"/>
      <c r="I21" s="77" t="s">
        <v>66</v>
      </c>
      <c r="J21" s="77"/>
      <c r="K21" s="77"/>
      <c r="L21" s="75" t="s">
        <v>67</v>
      </c>
      <c r="M21" s="75"/>
      <c r="N21" s="75"/>
      <c r="O21" s="74" t="s">
        <v>68</v>
      </c>
      <c r="P21" s="74"/>
      <c r="Q21" s="74"/>
    </row>
    <row r="22" spans="2:17" x14ac:dyDescent="0.35">
      <c r="F22" s="76" t="s">
        <v>78</v>
      </c>
      <c r="G22" s="76"/>
      <c r="H22" s="76"/>
      <c r="I22" s="77" t="s">
        <v>78</v>
      </c>
      <c r="J22" s="77"/>
      <c r="K22" s="77"/>
      <c r="L22" s="75" t="s">
        <v>78</v>
      </c>
      <c r="M22" s="75"/>
      <c r="N22" s="75"/>
      <c r="O22" s="74" t="s">
        <v>78</v>
      </c>
      <c r="P22" s="74"/>
      <c r="Q22" s="74"/>
    </row>
    <row r="23" spans="2:17" x14ac:dyDescent="0.35">
      <c r="B23" s="19" t="s">
        <v>80</v>
      </c>
      <c r="C23" s="19" t="s">
        <v>76</v>
      </c>
      <c r="D23" s="19" t="s">
        <v>75</v>
      </c>
      <c r="E23" s="19" t="s">
        <v>74</v>
      </c>
      <c r="F23" s="16">
        <v>170</v>
      </c>
      <c r="G23" s="16">
        <v>207</v>
      </c>
      <c r="H23" s="16">
        <v>700</v>
      </c>
      <c r="I23" s="17">
        <v>170</v>
      </c>
      <c r="J23" s="17">
        <v>207</v>
      </c>
      <c r="K23" s="17">
        <v>700</v>
      </c>
      <c r="L23" s="18">
        <v>170</v>
      </c>
      <c r="M23" s="18">
        <v>207</v>
      </c>
      <c r="N23" s="18">
        <v>700</v>
      </c>
      <c r="O23" s="19">
        <v>170</v>
      </c>
      <c r="P23" s="19">
        <v>207</v>
      </c>
      <c r="Q23" s="19">
        <v>700</v>
      </c>
    </row>
    <row r="24" spans="2:17" x14ac:dyDescent="0.35">
      <c r="B24" s="11">
        <v>1</v>
      </c>
      <c r="C24" s="11">
        <v>4.75</v>
      </c>
      <c r="D24" s="11">
        <v>3000</v>
      </c>
      <c r="E24" s="11">
        <f>C24/D24</f>
        <v>1.5833333333333333E-3</v>
      </c>
      <c r="F24" s="12"/>
      <c r="G24" s="12"/>
      <c r="H24" s="12"/>
      <c r="I24" s="15"/>
      <c r="J24" s="15"/>
      <c r="K24" s="15"/>
      <c r="L24" s="13"/>
      <c r="M24" s="13"/>
      <c r="N24" s="13"/>
      <c r="O24" s="11"/>
      <c r="P24" s="11"/>
      <c r="Q24" s="11"/>
    </row>
    <row r="25" spans="2:17" x14ac:dyDescent="0.35">
      <c r="B25" s="11">
        <v>2</v>
      </c>
      <c r="C25" s="11">
        <v>5.19</v>
      </c>
      <c r="D25" s="11">
        <v>3000</v>
      </c>
      <c r="E25" s="11">
        <f t="shared" ref="E25:E28" si="2">C25/D25</f>
        <v>1.7300000000000002E-3</v>
      </c>
      <c r="F25" s="12"/>
      <c r="G25" s="12"/>
      <c r="H25" s="12"/>
      <c r="I25" s="15"/>
      <c r="J25" s="15"/>
      <c r="K25" s="15"/>
      <c r="L25" s="13"/>
      <c r="M25" s="13"/>
      <c r="N25" s="13"/>
      <c r="O25" s="11"/>
      <c r="P25" s="11"/>
      <c r="Q25" s="11"/>
    </row>
    <row r="26" spans="2:17" x14ac:dyDescent="0.35">
      <c r="B26" s="11">
        <v>3</v>
      </c>
      <c r="C26" s="11">
        <v>5.63</v>
      </c>
      <c r="D26" s="11">
        <v>3000</v>
      </c>
      <c r="E26" s="11">
        <f t="shared" si="2"/>
        <v>1.8766666666666667E-3</v>
      </c>
      <c r="F26" s="12"/>
      <c r="G26" s="12"/>
      <c r="H26" s="12"/>
      <c r="I26" s="15"/>
      <c r="J26" s="15"/>
      <c r="K26" s="15"/>
      <c r="L26" s="13"/>
      <c r="M26" s="13"/>
      <c r="N26" s="13"/>
      <c r="O26" s="11"/>
      <c r="P26" s="11"/>
      <c r="Q26" s="11"/>
    </row>
    <row r="27" spans="2:17" x14ac:dyDescent="0.35">
      <c r="B27" s="11">
        <v>4</v>
      </c>
      <c r="C27" s="11">
        <v>6.07</v>
      </c>
      <c r="D27" s="11">
        <v>3000</v>
      </c>
      <c r="E27" s="11">
        <f t="shared" si="2"/>
        <v>2.0233333333333336E-3</v>
      </c>
      <c r="F27" s="12"/>
      <c r="G27" s="12"/>
      <c r="H27" s="12"/>
      <c r="I27" s="15"/>
      <c r="J27" s="15"/>
      <c r="K27" s="15"/>
      <c r="L27" s="13"/>
      <c r="M27" s="13"/>
      <c r="N27" s="13"/>
      <c r="O27" s="11"/>
      <c r="P27" s="11"/>
      <c r="Q27" s="11"/>
    </row>
    <row r="28" spans="2:17" x14ac:dyDescent="0.35">
      <c r="B28" s="11">
        <v>5</v>
      </c>
      <c r="C28" s="11">
        <v>6.51</v>
      </c>
      <c r="D28" s="11">
        <v>3000</v>
      </c>
      <c r="E28" s="11">
        <f t="shared" si="2"/>
        <v>2.1700000000000001E-3</v>
      </c>
      <c r="F28" s="12"/>
      <c r="G28" s="12"/>
      <c r="H28" s="12"/>
      <c r="I28" s="15"/>
      <c r="J28" s="15"/>
      <c r="K28" s="15"/>
      <c r="L28" s="13"/>
      <c r="M28" s="13"/>
      <c r="N28" s="13"/>
      <c r="O28" s="11"/>
      <c r="P28" s="11"/>
      <c r="Q28" s="11"/>
    </row>
  </sheetData>
  <mergeCells count="24">
    <mergeCell ref="F22:H22"/>
    <mergeCell ref="I22:K22"/>
    <mergeCell ref="L22:N22"/>
    <mergeCell ref="O22:Q22"/>
    <mergeCell ref="F13:H13"/>
    <mergeCell ref="I13:K13"/>
    <mergeCell ref="L13:N13"/>
    <mergeCell ref="O13:Q13"/>
    <mergeCell ref="F21:H21"/>
    <mergeCell ref="I21:K21"/>
    <mergeCell ref="L21:N21"/>
    <mergeCell ref="O21:Q21"/>
    <mergeCell ref="O4:Q4"/>
    <mergeCell ref="L3:N3"/>
    <mergeCell ref="O3:Q3"/>
    <mergeCell ref="F12:H12"/>
    <mergeCell ref="I12:K12"/>
    <mergeCell ref="L12:N12"/>
    <mergeCell ref="O12:Q12"/>
    <mergeCell ref="F4:H4"/>
    <mergeCell ref="F3:H3"/>
    <mergeCell ref="I3:K3"/>
    <mergeCell ref="I4:K4"/>
    <mergeCell ref="L4:N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BDF9-C759-4206-89E1-8519071DC641}">
  <dimension ref="B1:AB34"/>
  <sheetViews>
    <sheetView topLeftCell="A2" zoomScaleNormal="100" workbookViewId="0">
      <selection activeCell="B2" sqref="B2:J13"/>
    </sheetView>
  </sheetViews>
  <sheetFormatPr defaultRowHeight="14.5" x14ac:dyDescent="0.35"/>
  <cols>
    <col min="1" max="1" width="8.7265625" style="1"/>
    <col min="2" max="2" width="7.81640625" style="1" customWidth="1"/>
    <col min="3" max="4" width="6.90625" style="1" bestFit="1" customWidth="1"/>
    <col min="5" max="5" width="14.54296875" style="25" customWidth="1"/>
    <col min="6" max="6" width="7.453125" style="1" customWidth="1"/>
    <col min="7" max="7" width="8.453125" style="1" bestFit="1" customWidth="1"/>
    <col min="8" max="9" width="6.90625" style="1" bestFit="1" customWidth="1"/>
    <col min="10" max="10" width="14.54296875" style="25" customWidth="1"/>
    <col min="11" max="16384" width="8.7265625" style="1"/>
  </cols>
  <sheetData>
    <row r="1" spans="2:28" x14ac:dyDescent="0.35">
      <c r="L1" s="28" t="s">
        <v>84</v>
      </c>
      <c r="M1" s="28" t="s">
        <v>92</v>
      </c>
      <c r="N1" s="28"/>
      <c r="O1" s="28" t="s">
        <v>84</v>
      </c>
      <c r="P1" s="28" t="s">
        <v>92</v>
      </c>
      <c r="Q1" s="28"/>
      <c r="R1" s="28" t="s">
        <v>84</v>
      </c>
      <c r="S1" s="28" t="s">
        <v>92</v>
      </c>
      <c r="U1" s="29" t="s">
        <v>83</v>
      </c>
      <c r="V1" s="29" t="s">
        <v>92</v>
      </c>
      <c r="W1" s="29"/>
      <c r="X1" s="29" t="s">
        <v>83</v>
      </c>
      <c r="Y1" s="29" t="s">
        <v>92</v>
      </c>
      <c r="Z1" s="29"/>
      <c r="AA1" s="29" t="s">
        <v>83</v>
      </c>
      <c r="AB1" s="29" t="s">
        <v>92</v>
      </c>
    </row>
    <row r="2" spans="2:28" x14ac:dyDescent="0.35">
      <c r="C2" s="1" t="s">
        <v>83</v>
      </c>
      <c r="D2" s="1" t="s">
        <v>96</v>
      </c>
      <c r="E2" s="25" t="s">
        <v>98</v>
      </c>
      <c r="H2" s="1" t="s">
        <v>84</v>
      </c>
      <c r="I2" s="1" t="s">
        <v>97</v>
      </c>
      <c r="J2" s="25" t="s">
        <v>98</v>
      </c>
      <c r="L2" s="28" t="s">
        <v>93</v>
      </c>
      <c r="M2" s="28"/>
      <c r="N2" s="28"/>
      <c r="O2" s="28" t="s">
        <v>94</v>
      </c>
      <c r="P2" s="28"/>
      <c r="Q2" s="28"/>
      <c r="R2" s="28" t="s">
        <v>95</v>
      </c>
      <c r="S2" s="28"/>
      <c r="U2" s="29">
        <v>4.75</v>
      </c>
      <c r="V2" s="29"/>
      <c r="W2" s="29"/>
      <c r="X2" s="29">
        <v>8</v>
      </c>
      <c r="Y2" s="29"/>
      <c r="Z2" s="29"/>
      <c r="AA2" s="29">
        <v>10</v>
      </c>
      <c r="AB2" s="29"/>
    </row>
    <row r="3" spans="2:28" x14ac:dyDescent="0.35">
      <c r="B3" s="23" t="s">
        <v>89</v>
      </c>
      <c r="C3" s="23" t="s">
        <v>85</v>
      </c>
      <c r="D3" s="23" t="s">
        <v>86</v>
      </c>
      <c r="E3" s="26" t="s">
        <v>87</v>
      </c>
      <c r="F3" s="24"/>
      <c r="G3" s="23" t="s">
        <v>89</v>
      </c>
      <c r="H3" s="23" t="s">
        <v>85</v>
      </c>
      <c r="I3" s="23" t="s">
        <v>86</v>
      </c>
      <c r="J3" s="26" t="s">
        <v>87</v>
      </c>
      <c r="L3" s="28" t="s">
        <v>15</v>
      </c>
      <c r="M3" s="28" t="s">
        <v>14</v>
      </c>
      <c r="N3" s="28"/>
      <c r="O3" s="28" t="s">
        <v>15</v>
      </c>
      <c r="P3" s="28" t="s">
        <v>14</v>
      </c>
      <c r="Q3" s="28"/>
      <c r="R3" s="28" t="s">
        <v>15</v>
      </c>
      <c r="S3" s="28" t="s">
        <v>14</v>
      </c>
      <c r="U3" s="29" t="s">
        <v>15</v>
      </c>
      <c r="V3" s="29" t="s">
        <v>14</v>
      </c>
      <c r="W3" s="29"/>
      <c r="X3" s="29" t="s">
        <v>15</v>
      </c>
      <c r="Y3" s="29" t="s">
        <v>14</v>
      </c>
      <c r="Z3" s="29"/>
      <c r="AA3" s="29" t="s">
        <v>15</v>
      </c>
      <c r="AB3" s="29" t="s">
        <v>14</v>
      </c>
    </row>
    <row r="4" spans="2:28" x14ac:dyDescent="0.35">
      <c r="B4" s="23" t="s">
        <v>91</v>
      </c>
      <c r="C4" s="23">
        <v>4.75</v>
      </c>
      <c r="D4" s="23">
        <v>50</v>
      </c>
      <c r="E4" s="27">
        <v>4.1886399999999997E-2</v>
      </c>
      <c r="G4" s="23" t="s">
        <v>91</v>
      </c>
      <c r="H4" s="23">
        <v>4.75</v>
      </c>
      <c r="I4" s="23">
        <v>50</v>
      </c>
      <c r="J4" s="27">
        <v>4.1745299999999999E-2</v>
      </c>
      <c r="L4" s="28">
        <v>0</v>
      </c>
      <c r="M4" s="28">
        <v>0</v>
      </c>
      <c r="N4" s="28"/>
      <c r="O4" s="28">
        <v>0</v>
      </c>
      <c r="P4" s="28">
        <v>0</v>
      </c>
      <c r="Q4" s="28"/>
      <c r="R4" s="28">
        <v>0</v>
      </c>
      <c r="S4" s="28">
        <v>0</v>
      </c>
      <c r="U4" s="29">
        <v>0</v>
      </c>
      <c r="V4" s="29">
        <v>0</v>
      </c>
      <c r="W4" s="29"/>
      <c r="X4" s="29">
        <v>0</v>
      </c>
      <c r="Y4" s="29">
        <v>0</v>
      </c>
      <c r="Z4" s="29"/>
      <c r="AA4" s="29">
        <v>0</v>
      </c>
      <c r="AB4" s="29">
        <v>0</v>
      </c>
    </row>
    <row r="5" spans="2:28" x14ac:dyDescent="0.35">
      <c r="B5" s="23" t="s">
        <v>90</v>
      </c>
      <c r="C5" s="23">
        <v>8</v>
      </c>
      <c r="D5" s="23">
        <v>50</v>
      </c>
      <c r="E5" s="27">
        <v>4.21102E-2</v>
      </c>
      <c r="G5" s="23" t="s">
        <v>90</v>
      </c>
      <c r="H5" s="23">
        <v>8</v>
      </c>
      <c r="I5" s="23">
        <v>50</v>
      </c>
      <c r="J5" s="27">
        <v>4.2045399999999997E-2</v>
      </c>
      <c r="L5" s="28">
        <v>1.30017</v>
      </c>
      <c r="M5" s="28">
        <v>9.6820799999999992E-3</v>
      </c>
      <c r="N5" s="28"/>
      <c r="O5" s="28">
        <v>1.30017</v>
      </c>
      <c r="P5" s="28">
        <v>9.6820799999999992E-3</v>
      </c>
      <c r="Q5" s="28"/>
      <c r="R5" s="28">
        <v>1.2925800000000001</v>
      </c>
      <c r="S5" s="28">
        <v>9.68164E-3</v>
      </c>
      <c r="U5" s="29">
        <v>1.2853399999999999</v>
      </c>
      <c r="V5" s="29">
        <v>9.6867399999999992E-3</v>
      </c>
      <c r="W5" s="29"/>
      <c r="X5" s="29">
        <v>1.2808999999999999</v>
      </c>
      <c r="Y5" s="29">
        <v>9.6851799999999998E-3</v>
      </c>
      <c r="Z5" s="29"/>
      <c r="AA5" s="29">
        <v>1.2782100000000001</v>
      </c>
      <c r="AB5" s="29">
        <v>9.6847300000000008E-3</v>
      </c>
    </row>
    <row r="6" spans="2:28" x14ac:dyDescent="0.35">
      <c r="B6" s="23" t="s">
        <v>88</v>
      </c>
      <c r="C6" s="23">
        <v>10</v>
      </c>
      <c r="D6" s="23">
        <v>50</v>
      </c>
      <c r="E6" s="27">
        <v>4.2235599999999998E-2</v>
      </c>
      <c r="G6" s="23" t="s">
        <v>88</v>
      </c>
      <c r="H6" s="23">
        <v>10</v>
      </c>
      <c r="I6" s="23">
        <v>50</v>
      </c>
      <c r="J6" s="27">
        <v>4.2203499999999998E-2</v>
      </c>
      <c r="L6" s="28">
        <v>2.5987800000000001</v>
      </c>
      <c r="M6" s="28">
        <v>1.8732200000000001E-2</v>
      </c>
      <c r="N6" s="28"/>
      <c r="O6" s="28">
        <v>2.5987800000000001</v>
      </c>
      <c r="P6" s="28">
        <v>1.8732200000000001E-2</v>
      </c>
      <c r="Q6" s="28"/>
      <c r="R6" s="28">
        <v>2.5838000000000001</v>
      </c>
      <c r="S6" s="28">
        <v>1.87312E-2</v>
      </c>
      <c r="U6" s="29">
        <v>2.5697000000000001</v>
      </c>
      <c r="V6" s="29">
        <v>1.8750099999999999E-2</v>
      </c>
      <c r="W6" s="29"/>
      <c r="X6" s="29">
        <v>2.5609799999999998</v>
      </c>
      <c r="Y6" s="29">
        <v>1.87447E-2</v>
      </c>
      <c r="Z6" s="29"/>
      <c r="AA6" s="29">
        <v>2.5556899999999998</v>
      </c>
      <c r="AB6" s="29">
        <v>1.8743200000000002E-2</v>
      </c>
    </row>
    <row r="7" spans="2:28" x14ac:dyDescent="0.35">
      <c r="L7" s="28">
        <v>4.5441500000000001</v>
      </c>
      <c r="M7" s="28">
        <v>3.1191300000000002E-2</v>
      </c>
      <c r="N7" s="28"/>
      <c r="O7" s="28">
        <v>4.5441500000000001</v>
      </c>
      <c r="P7" s="28">
        <v>3.1191300000000002E-2</v>
      </c>
      <c r="Q7" s="28"/>
      <c r="R7" s="28">
        <v>4.5183999999999997</v>
      </c>
      <c r="S7" s="28">
        <v>3.1191300000000002E-2</v>
      </c>
      <c r="U7" s="29">
        <v>4.4947100000000004</v>
      </c>
      <c r="V7" s="29">
        <v>3.1242900000000001E-2</v>
      </c>
      <c r="W7" s="29"/>
      <c r="X7" s="29">
        <v>4.47987</v>
      </c>
      <c r="Y7" s="29">
        <v>3.1229400000000001E-2</v>
      </c>
      <c r="Z7" s="29"/>
      <c r="AA7" s="29">
        <v>4.4708199999999998</v>
      </c>
      <c r="AB7" s="29">
        <v>3.1226400000000001E-2</v>
      </c>
    </row>
    <row r="8" spans="2:28" x14ac:dyDescent="0.35">
      <c r="L8" s="28">
        <v>7.48123</v>
      </c>
      <c r="M8" s="28">
        <v>3.9392299999999998E-2</v>
      </c>
      <c r="N8" s="28"/>
      <c r="O8" s="28">
        <v>7.48123</v>
      </c>
      <c r="P8" s="28">
        <v>3.9392299999999998E-2</v>
      </c>
      <c r="Q8" s="28"/>
      <c r="R8" s="28">
        <v>7.4339899999999997</v>
      </c>
      <c r="S8" s="28">
        <v>3.9680300000000002E-2</v>
      </c>
      <c r="U8" s="29">
        <v>7.39445</v>
      </c>
      <c r="V8" s="29">
        <v>3.9602600000000002E-2</v>
      </c>
      <c r="W8" s="29"/>
      <c r="X8" s="29">
        <v>7.36761</v>
      </c>
      <c r="Y8" s="29">
        <v>3.9739400000000001E-2</v>
      </c>
      <c r="Z8" s="29"/>
      <c r="AA8" s="29">
        <v>7.3516500000000002</v>
      </c>
      <c r="AB8" s="29">
        <v>3.9822200000000002E-2</v>
      </c>
    </row>
    <row r="9" spans="2:28" x14ac:dyDescent="0.35">
      <c r="C9" s="1" t="s">
        <v>83</v>
      </c>
      <c r="D9" s="1" t="s">
        <v>96</v>
      </c>
      <c r="E9" s="25" t="s">
        <v>99</v>
      </c>
      <c r="H9" s="1" t="s">
        <v>84</v>
      </c>
      <c r="I9" s="1" t="s">
        <v>97</v>
      </c>
      <c r="J9" s="25" t="s">
        <v>99</v>
      </c>
      <c r="L9" s="28">
        <v>11.9236</v>
      </c>
      <c r="M9" s="28">
        <v>4.1745299999999999E-2</v>
      </c>
      <c r="N9" s="28"/>
      <c r="O9" s="28">
        <v>11.9236</v>
      </c>
      <c r="P9" s="28">
        <v>4.1745299999999999E-2</v>
      </c>
      <c r="Q9" s="28"/>
      <c r="R9" s="28">
        <v>11.8409</v>
      </c>
      <c r="S9" s="28">
        <v>4.2203499999999998E-2</v>
      </c>
      <c r="U9" s="29">
        <v>11.754899999999999</v>
      </c>
      <c r="V9" s="29">
        <v>4.1886399999999997E-2</v>
      </c>
      <c r="W9" s="29"/>
      <c r="X9" s="29">
        <v>11.707000000000001</v>
      </c>
      <c r="Y9" s="29">
        <v>4.21102E-2</v>
      </c>
      <c r="Z9" s="29"/>
      <c r="AA9" s="29">
        <v>11.6806</v>
      </c>
      <c r="AB9" s="29">
        <v>4.2235599999999998E-2</v>
      </c>
    </row>
    <row r="10" spans="2:28" x14ac:dyDescent="0.35">
      <c r="B10" s="23" t="s">
        <v>89</v>
      </c>
      <c r="C10" s="23" t="s">
        <v>85</v>
      </c>
      <c r="D10" s="23" t="s">
        <v>86</v>
      </c>
      <c r="E10" s="26" t="s">
        <v>87</v>
      </c>
      <c r="F10" s="24"/>
      <c r="G10" s="23" t="s">
        <v>89</v>
      </c>
      <c r="H10" s="23" t="s">
        <v>85</v>
      </c>
      <c r="I10" s="23" t="s">
        <v>86</v>
      </c>
      <c r="J10" s="26" t="s">
        <v>87</v>
      </c>
      <c r="L10" s="28">
        <v>16.3858</v>
      </c>
      <c r="M10" s="28">
        <v>4.1398299999999999E-2</v>
      </c>
      <c r="N10" s="28"/>
      <c r="O10" s="28">
        <v>16.3858</v>
      </c>
      <c r="P10" s="28">
        <v>4.1398299999999999E-2</v>
      </c>
      <c r="Q10" s="28"/>
      <c r="R10" s="28">
        <v>16.2727</v>
      </c>
      <c r="S10" s="28">
        <v>4.1742799999999997E-2</v>
      </c>
      <c r="U10" s="29">
        <v>16.1068</v>
      </c>
      <c r="V10" s="29">
        <v>4.1452799999999998E-2</v>
      </c>
      <c r="W10" s="29"/>
      <c r="X10" s="29">
        <v>16.037600000000001</v>
      </c>
      <c r="Y10" s="29">
        <v>4.1652599999999998E-2</v>
      </c>
      <c r="Z10" s="29"/>
      <c r="AA10" s="29">
        <v>15.998799999999999</v>
      </c>
      <c r="AB10" s="29">
        <v>4.1747699999999999E-2</v>
      </c>
    </row>
    <row r="11" spans="2:28" x14ac:dyDescent="0.35">
      <c r="B11" s="23" t="s">
        <v>91</v>
      </c>
      <c r="C11" s="23">
        <v>4.75</v>
      </c>
      <c r="D11" s="23">
        <v>50</v>
      </c>
      <c r="E11" s="27">
        <v>0.20197100000000001</v>
      </c>
      <c r="G11" s="23" t="s">
        <v>91</v>
      </c>
      <c r="H11" s="23">
        <v>4.75</v>
      </c>
      <c r="I11" s="23">
        <v>50</v>
      </c>
      <c r="J11" s="27">
        <v>3.8440599999999998E-2</v>
      </c>
      <c r="L11" s="28">
        <v>20.8596</v>
      </c>
      <c r="M11" s="28">
        <v>3.9675200000000001E-2</v>
      </c>
      <c r="N11" s="28"/>
      <c r="O11" s="28">
        <v>20.8596</v>
      </c>
      <c r="P11" s="28">
        <v>3.9675200000000001E-2</v>
      </c>
      <c r="Q11" s="28"/>
      <c r="R11" s="28">
        <v>20.720500000000001</v>
      </c>
      <c r="S11" s="28">
        <v>3.9730399999999999E-2</v>
      </c>
      <c r="U11" s="29">
        <v>20.429300000000001</v>
      </c>
      <c r="V11" s="29">
        <v>3.9793700000000001E-2</v>
      </c>
      <c r="W11" s="29"/>
      <c r="X11" s="29">
        <v>20.3339</v>
      </c>
      <c r="Y11" s="29">
        <v>3.9861599999999997E-2</v>
      </c>
      <c r="Z11" s="29"/>
      <c r="AA11" s="29">
        <v>20.281400000000001</v>
      </c>
      <c r="AB11" s="29">
        <v>3.9886100000000001E-2</v>
      </c>
    </row>
    <row r="12" spans="2:28" x14ac:dyDescent="0.35">
      <c r="B12" s="23" t="s">
        <v>90</v>
      </c>
      <c r="C12" s="23">
        <v>8</v>
      </c>
      <c r="D12" s="23">
        <v>50</v>
      </c>
      <c r="E12" s="27">
        <v>0.207093</v>
      </c>
      <c r="G12" s="23" t="s">
        <v>90</v>
      </c>
      <c r="H12" s="23">
        <v>8</v>
      </c>
      <c r="I12" s="23">
        <v>50</v>
      </c>
      <c r="J12" s="27">
        <v>3.8721800000000001E-2</v>
      </c>
      <c r="L12" s="28">
        <v>25.328900000000001</v>
      </c>
      <c r="M12" s="28">
        <v>3.7660800000000001E-2</v>
      </c>
      <c r="N12" s="28"/>
      <c r="O12" s="28">
        <v>25.328900000000001</v>
      </c>
      <c r="P12" s="28">
        <v>3.7660800000000001E-2</v>
      </c>
      <c r="Q12" s="28"/>
      <c r="R12" s="28">
        <v>25.167400000000001</v>
      </c>
      <c r="S12" s="28">
        <v>3.7543699999999999E-2</v>
      </c>
      <c r="U12" s="29">
        <v>24.712199999999999</v>
      </c>
      <c r="V12" s="29">
        <v>3.7910100000000002E-2</v>
      </c>
      <c r="W12" s="29"/>
      <c r="X12" s="29">
        <v>24.599799999999998</v>
      </c>
      <c r="Y12" s="29">
        <v>3.7867600000000001E-2</v>
      </c>
      <c r="Z12" s="29"/>
      <c r="AA12" s="29">
        <v>24.537199999999999</v>
      </c>
      <c r="AB12" s="29">
        <v>3.7846699999999997E-2</v>
      </c>
    </row>
    <row r="13" spans="2:28" x14ac:dyDescent="0.35">
      <c r="B13" s="23" t="s">
        <v>88</v>
      </c>
      <c r="C13" s="23">
        <v>10</v>
      </c>
      <c r="D13" s="23">
        <v>50</v>
      </c>
      <c r="E13" s="27">
        <v>0.20817099999999999</v>
      </c>
      <c r="G13" s="23" t="s">
        <v>88</v>
      </c>
      <c r="H13" s="23">
        <v>10</v>
      </c>
      <c r="I13" s="23">
        <v>50</v>
      </c>
      <c r="J13" s="27">
        <v>3.8865799999999999E-2</v>
      </c>
      <c r="L13" s="28">
        <v>29.7941</v>
      </c>
      <c r="M13" s="28">
        <v>3.5527400000000001E-2</v>
      </c>
      <c r="N13" s="28"/>
      <c r="O13" s="28">
        <v>29.7941</v>
      </c>
      <c r="P13" s="28">
        <v>3.5527400000000001E-2</v>
      </c>
      <c r="Q13" s="28"/>
      <c r="R13" s="28">
        <v>29.614100000000001</v>
      </c>
      <c r="S13" s="28">
        <v>3.5360500000000003E-2</v>
      </c>
      <c r="U13" s="29">
        <v>28.9635</v>
      </c>
      <c r="V13" s="29">
        <v>3.5908200000000001E-2</v>
      </c>
      <c r="W13" s="29"/>
      <c r="X13" s="29">
        <v>28.845199999999998</v>
      </c>
      <c r="Y13" s="29">
        <v>3.5813499999999998E-2</v>
      </c>
      <c r="Z13" s="29"/>
      <c r="AA13" s="29">
        <v>28.7758</v>
      </c>
      <c r="AB13" s="29">
        <v>3.5776700000000002E-2</v>
      </c>
    </row>
    <row r="14" spans="2:28" x14ac:dyDescent="0.35">
      <c r="L14" s="28">
        <v>34.261600000000001</v>
      </c>
      <c r="M14" s="28">
        <v>3.3401300000000002E-2</v>
      </c>
      <c r="N14" s="28"/>
      <c r="O14" s="28">
        <v>34.261600000000001</v>
      </c>
      <c r="P14" s="28">
        <v>3.3401300000000002E-2</v>
      </c>
      <c r="Q14" s="28"/>
      <c r="R14" s="28">
        <v>34.061199999999999</v>
      </c>
      <c r="S14" s="28">
        <v>3.32492E-2</v>
      </c>
      <c r="U14" s="29">
        <v>33.213700000000003</v>
      </c>
      <c r="V14" s="29">
        <v>3.3887899999999999E-2</v>
      </c>
      <c r="W14" s="29"/>
      <c r="X14" s="29">
        <v>33.085799999999999</v>
      </c>
      <c r="Y14" s="29">
        <v>3.3787400000000002E-2</v>
      </c>
      <c r="Z14" s="29"/>
      <c r="AA14" s="29">
        <v>33.008600000000001</v>
      </c>
      <c r="AB14" s="29">
        <v>3.3753600000000002E-2</v>
      </c>
    </row>
    <row r="15" spans="2:28" x14ac:dyDescent="0.35">
      <c r="L15" s="28">
        <v>38.7346</v>
      </c>
      <c r="M15" s="28">
        <v>3.1336799999999998E-2</v>
      </c>
      <c r="N15" s="28"/>
      <c r="O15" s="28">
        <v>38.7346</v>
      </c>
      <c r="P15" s="28">
        <v>3.1336799999999998E-2</v>
      </c>
      <c r="Q15" s="28"/>
      <c r="R15" s="28">
        <v>38.51</v>
      </c>
      <c r="S15" s="28">
        <v>3.1220100000000001E-2</v>
      </c>
      <c r="U15" s="29">
        <v>37.453600000000002</v>
      </c>
      <c r="V15" s="29">
        <v>3.1915699999999998E-2</v>
      </c>
      <c r="W15" s="29"/>
      <c r="X15" s="29">
        <v>37.321399999999997</v>
      </c>
      <c r="Y15" s="29">
        <v>3.1824900000000003E-2</v>
      </c>
      <c r="Z15" s="29"/>
      <c r="AA15" s="29">
        <v>37.239699999999999</v>
      </c>
      <c r="AB15" s="29">
        <v>3.1800700000000001E-2</v>
      </c>
    </row>
    <row r="16" spans="2:28" x14ac:dyDescent="0.35">
      <c r="L16" s="28">
        <v>43.220500000000001</v>
      </c>
      <c r="M16" s="28">
        <v>2.9337599999999998E-2</v>
      </c>
      <c r="N16" s="28"/>
      <c r="O16" s="28">
        <v>43.220500000000001</v>
      </c>
      <c r="P16" s="28">
        <v>2.9337599999999998E-2</v>
      </c>
      <c r="Q16" s="28"/>
      <c r="R16" s="28">
        <v>42.962699999999998</v>
      </c>
      <c r="S16" s="28">
        <v>2.9260700000000001E-2</v>
      </c>
      <c r="U16" s="29">
        <v>41.697499999999998</v>
      </c>
      <c r="V16" s="29">
        <v>3.00027E-2</v>
      </c>
      <c r="W16" s="29"/>
      <c r="X16" s="29">
        <v>41.559199999999997</v>
      </c>
      <c r="Y16" s="29">
        <v>2.9930100000000001E-2</v>
      </c>
      <c r="Z16" s="29"/>
      <c r="AA16" s="29">
        <v>41.474400000000003</v>
      </c>
      <c r="AB16" s="29">
        <v>2.9913700000000001E-2</v>
      </c>
    </row>
    <row r="17" spans="12:28" x14ac:dyDescent="0.35">
      <c r="L17" s="28">
        <v>47.718699999999998</v>
      </c>
      <c r="M17" s="28">
        <v>2.7394600000000002E-2</v>
      </c>
      <c r="N17" s="28"/>
      <c r="O17" s="28">
        <v>47.718699999999998</v>
      </c>
      <c r="P17" s="28">
        <v>2.7394600000000002E-2</v>
      </c>
      <c r="Q17" s="28"/>
      <c r="R17" s="28">
        <v>47.419899999999998</v>
      </c>
      <c r="S17" s="28">
        <v>2.7358899999999998E-2</v>
      </c>
      <c r="U17" s="29">
        <v>45.923900000000003</v>
      </c>
      <c r="V17" s="29">
        <v>2.8156E-2</v>
      </c>
      <c r="W17" s="29"/>
      <c r="X17" s="29">
        <v>45.793500000000002</v>
      </c>
      <c r="Y17" s="29">
        <v>2.80965E-2</v>
      </c>
      <c r="Z17" s="29"/>
      <c r="AA17" s="29">
        <v>45.712499999999999</v>
      </c>
      <c r="AB17" s="29">
        <v>2.80848E-2</v>
      </c>
    </row>
    <row r="18" spans="12:28" x14ac:dyDescent="0.35">
      <c r="L18" s="28">
        <v>52.239100000000001</v>
      </c>
      <c r="M18" s="28">
        <v>2.5495299999999999E-2</v>
      </c>
      <c r="N18" s="28"/>
      <c r="O18" s="28">
        <v>52.239100000000001</v>
      </c>
      <c r="P18" s="28">
        <v>2.5495299999999999E-2</v>
      </c>
      <c r="Q18" s="28"/>
      <c r="R18" s="28">
        <v>51.880699999999997</v>
      </c>
      <c r="S18" s="28">
        <v>2.5503899999999999E-2</v>
      </c>
      <c r="U18" s="29">
        <v>50.152700000000003</v>
      </c>
      <c r="V18" s="29">
        <v>2.63568E-2</v>
      </c>
      <c r="W18" s="29"/>
      <c r="X18" s="29">
        <v>50.0291</v>
      </c>
      <c r="Y18" s="29">
        <v>2.6310400000000001E-2</v>
      </c>
      <c r="Z18" s="29"/>
      <c r="AA18" s="29">
        <v>49.947699999999998</v>
      </c>
      <c r="AB18" s="29">
        <v>2.63048E-2</v>
      </c>
    </row>
    <row r="19" spans="12:28" x14ac:dyDescent="0.35">
      <c r="L19" s="28">
        <v>56.758800000000001</v>
      </c>
      <c r="M19" s="28">
        <v>2.3701799999999999E-2</v>
      </c>
      <c r="N19" s="28"/>
      <c r="O19" s="28">
        <v>56.758800000000001</v>
      </c>
      <c r="P19" s="28">
        <v>2.3701799999999999E-2</v>
      </c>
      <c r="Q19" s="28"/>
      <c r="R19" s="28">
        <v>56.3459</v>
      </c>
      <c r="S19" s="28">
        <v>2.3733799999999999E-2</v>
      </c>
      <c r="U19" s="29">
        <v>54.403599999999997</v>
      </c>
      <c r="V19" s="29">
        <v>2.4608700000000001E-2</v>
      </c>
      <c r="W19" s="29"/>
      <c r="X19" s="29">
        <v>54.278500000000001</v>
      </c>
      <c r="Y19" s="29">
        <v>2.4573000000000001E-2</v>
      </c>
      <c r="Z19" s="29"/>
      <c r="AA19" s="29">
        <v>54.193899999999999</v>
      </c>
      <c r="AB19" s="29">
        <v>2.4572299999999998E-2</v>
      </c>
    </row>
    <row r="20" spans="12:28" x14ac:dyDescent="0.35">
      <c r="L20" s="28">
        <v>61.253799999999998</v>
      </c>
      <c r="M20" s="28">
        <v>2.2172799999999999E-2</v>
      </c>
      <c r="N20" s="28"/>
      <c r="O20" s="28">
        <v>61.253799999999998</v>
      </c>
      <c r="P20" s="28">
        <v>2.2172799999999999E-2</v>
      </c>
      <c r="Q20" s="28"/>
      <c r="R20" s="28">
        <v>60.812399999999997</v>
      </c>
      <c r="S20" s="28">
        <v>2.2202E-2</v>
      </c>
      <c r="U20" s="29">
        <v>58.665999999999997</v>
      </c>
      <c r="V20" s="29">
        <v>2.30064E-2</v>
      </c>
      <c r="W20" s="29"/>
      <c r="X20" s="29">
        <v>58.537199999999999</v>
      </c>
      <c r="Y20" s="29">
        <v>2.2973299999999999E-2</v>
      </c>
      <c r="Z20" s="29"/>
      <c r="AA20" s="29">
        <v>58.448599999999999</v>
      </c>
      <c r="AB20" s="29">
        <v>2.2972900000000001E-2</v>
      </c>
    </row>
    <row r="21" spans="12:28" x14ac:dyDescent="0.35">
      <c r="L21" s="28">
        <v>65.745199999999997</v>
      </c>
      <c r="M21" s="28">
        <v>2.10691E-2</v>
      </c>
      <c r="N21" s="28"/>
      <c r="O21" s="28">
        <v>65.745199999999997</v>
      </c>
      <c r="P21" s="28">
        <v>2.10691E-2</v>
      </c>
      <c r="Q21" s="28"/>
      <c r="R21" s="28">
        <v>65.283699999999996</v>
      </c>
      <c r="S21" s="28">
        <v>2.11112E-2</v>
      </c>
      <c r="U21" s="29">
        <v>62.940899999999999</v>
      </c>
      <c r="V21" s="29">
        <v>2.1688499999999999E-2</v>
      </c>
      <c r="W21" s="29"/>
      <c r="X21" s="29">
        <v>62.8065</v>
      </c>
      <c r="Y21" s="29">
        <v>2.16622E-2</v>
      </c>
      <c r="Z21" s="29"/>
      <c r="AA21" s="29">
        <v>62.713500000000003</v>
      </c>
      <c r="AB21" s="29">
        <v>2.1662899999999999E-2</v>
      </c>
    </row>
    <row r="22" spans="12:28" x14ac:dyDescent="0.35">
      <c r="L22" s="28">
        <v>70.245599999999996</v>
      </c>
      <c r="M22" s="28">
        <v>2.0531000000000001E-2</v>
      </c>
      <c r="N22" s="28"/>
      <c r="O22" s="28">
        <v>70.245599999999996</v>
      </c>
      <c r="P22" s="28">
        <v>2.0531000000000001E-2</v>
      </c>
      <c r="Q22" s="28"/>
      <c r="R22" s="28">
        <v>69.762100000000004</v>
      </c>
      <c r="S22" s="28">
        <v>2.06497E-2</v>
      </c>
      <c r="U22" s="29">
        <v>67.224400000000003</v>
      </c>
      <c r="V22" s="29">
        <v>2.0784400000000001E-2</v>
      </c>
      <c r="W22" s="29"/>
      <c r="X22" s="29">
        <v>67.087500000000006</v>
      </c>
      <c r="Y22" s="29">
        <v>2.0789999999999999E-2</v>
      </c>
      <c r="Z22" s="29"/>
      <c r="AA22" s="29">
        <v>66.989400000000003</v>
      </c>
      <c r="AB22" s="29">
        <v>2.08028E-2</v>
      </c>
    </row>
    <row r="23" spans="12:28" x14ac:dyDescent="0.35">
      <c r="L23" s="28">
        <v>74.744100000000003</v>
      </c>
      <c r="M23" s="28">
        <v>2.0576899999999999E-2</v>
      </c>
      <c r="N23" s="28"/>
      <c r="O23" s="28">
        <v>74.744100000000003</v>
      </c>
      <c r="P23" s="28">
        <v>2.0576899999999999E-2</v>
      </c>
      <c r="Q23" s="28"/>
      <c r="R23" s="28">
        <v>70.042100000000005</v>
      </c>
      <c r="S23" s="28">
        <v>2.0645799999999999E-2</v>
      </c>
      <c r="U23" s="29">
        <v>71.566400000000002</v>
      </c>
      <c r="V23" s="29">
        <v>2.0348600000000001E-2</v>
      </c>
      <c r="W23" s="29"/>
      <c r="X23" s="29">
        <v>71.404499999999999</v>
      </c>
      <c r="Y23" s="29">
        <v>2.0484499999999999E-2</v>
      </c>
      <c r="Z23" s="29"/>
      <c r="AA23" s="29">
        <v>71.296999999999997</v>
      </c>
      <c r="AB23" s="29">
        <v>2.0533699999999998E-2</v>
      </c>
    </row>
    <row r="24" spans="12:28" x14ac:dyDescent="0.35">
      <c r="L24" s="28">
        <v>79.257400000000004</v>
      </c>
      <c r="M24" s="28">
        <v>2.1314900000000001E-2</v>
      </c>
      <c r="N24" s="28"/>
      <c r="O24" s="28">
        <v>79.257400000000004</v>
      </c>
      <c r="P24" s="28">
        <v>2.1314900000000001E-2</v>
      </c>
      <c r="Q24" s="28"/>
      <c r="R24" s="28">
        <v>70.317599999999999</v>
      </c>
      <c r="S24" s="28">
        <v>2.0645400000000001E-2</v>
      </c>
      <c r="U24" s="29">
        <v>75.951800000000006</v>
      </c>
      <c r="V24" s="29">
        <v>2.0341700000000001E-2</v>
      </c>
      <c r="W24" s="29"/>
      <c r="X24" s="29">
        <v>75.708799999999997</v>
      </c>
      <c r="Y24" s="29">
        <v>2.0681600000000001E-2</v>
      </c>
      <c r="Z24" s="29"/>
      <c r="AA24" s="29">
        <v>75.623599999999996</v>
      </c>
      <c r="AB24" s="29">
        <v>2.08746E-2</v>
      </c>
    </row>
    <row r="25" spans="12:28" x14ac:dyDescent="0.35">
      <c r="L25" s="28">
        <v>83.747600000000006</v>
      </c>
      <c r="M25" s="28">
        <v>2.2649599999999999E-2</v>
      </c>
      <c r="N25" s="28"/>
      <c r="O25" s="28">
        <v>83.747600000000006</v>
      </c>
      <c r="P25" s="28">
        <v>2.2649599999999999E-2</v>
      </c>
      <c r="Q25" s="28"/>
      <c r="R25" s="28">
        <v>70.737899999999996</v>
      </c>
      <c r="S25" s="28">
        <v>2.0650100000000001E-2</v>
      </c>
      <c r="U25" s="29">
        <v>77.056200000000004</v>
      </c>
      <c r="V25" s="29">
        <v>2.0417399999999999E-2</v>
      </c>
      <c r="W25" s="29"/>
      <c r="X25" s="29">
        <v>80.109399999999994</v>
      </c>
      <c r="Y25" s="29">
        <v>2.1157499999999999E-2</v>
      </c>
      <c r="Z25" s="29"/>
      <c r="AA25" s="29">
        <v>80.018000000000001</v>
      </c>
      <c r="AB25" s="29">
        <v>2.1701499999999999E-2</v>
      </c>
    </row>
    <row r="26" spans="12:28" x14ac:dyDescent="0.35">
      <c r="L26" s="28">
        <v>88.235399999999998</v>
      </c>
      <c r="M26" s="28">
        <v>2.46363E-2</v>
      </c>
      <c r="N26" s="28"/>
      <c r="O26" s="28">
        <v>88.235399999999998</v>
      </c>
      <c r="P26" s="28">
        <v>2.46363E-2</v>
      </c>
      <c r="Q26" s="28"/>
      <c r="R26" s="28">
        <v>71.369100000000003</v>
      </c>
      <c r="S26" s="28">
        <v>2.0672300000000001E-2</v>
      </c>
      <c r="U26" s="29">
        <v>78.162499999999994</v>
      </c>
      <c r="V26" s="29">
        <v>2.05241E-2</v>
      </c>
      <c r="W26" s="29"/>
      <c r="X26" s="29">
        <v>84.574700000000007</v>
      </c>
      <c r="Y26" s="29">
        <v>2.1492199999999999E-2</v>
      </c>
      <c r="Z26" s="29"/>
      <c r="AA26" s="29">
        <v>84.474800000000002</v>
      </c>
      <c r="AB26" s="29">
        <v>2.2275900000000001E-2</v>
      </c>
    </row>
    <row r="27" spans="12:28" x14ac:dyDescent="0.35">
      <c r="L27" s="28">
        <v>92.744900000000001</v>
      </c>
      <c r="M27" s="28">
        <v>2.69018E-2</v>
      </c>
      <c r="N27" s="28"/>
      <c r="O27" s="28">
        <v>92.744900000000001</v>
      </c>
      <c r="P27" s="28">
        <v>2.69018E-2</v>
      </c>
      <c r="Q27" s="28"/>
      <c r="R27" s="28">
        <v>72.316199999999995</v>
      </c>
      <c r="S27" s="28">
        <v>2.0737200000000001E-2</v>
      </c>
      <c r="U27" s="29">
        <v>79.840199999999996</v>
      </c>
      <c r="V27" s="29">
        <v>2.0501999999999999E-2</v>
      </c>
      <c r="W27" s="29"/>
      <c r="X27" s="29">
        <v>89.059700000000007</v>
      </c>
      <c r="Y27" s="29">
        <v>2.22831E-2</v>
      </c>
      <c r="Z27" s="29"/>
      <c r="AA27" s="29">
        <v>88.949399999999997</v>
      </c>
      <c r="AB27" s="29">
        <v>2.3301100000000002E-2</v>
      </c>
    </row>
    <row r="28" spans="12:28" x14ac:dyDescent="0.35">
      <c r="L28" s="28">
        <v>97.293000000000006</v>
      </c>
      <c r="M28" s="28">
        <v>2.88939E-2</v>
      </c>
      <c r="N28" s="28"/>
      <c r="O28" s="28">
        <v>97.293000000000006</v>
      </c>
      <c r="P28" s="28">
        <v>2.88939E-2</v>
      </c>
      <c r="Q28" s="28"/>
      <c r="R28" s="28">
        <v>73.7376</v>
      </c>
      <c r="S28" s="28">
        <v>2.09103E-2</v>
      </c>
      <c r="U28" s="29">
        <v>80.260000000000005</v>
      </c>
      <c r="V28" s="29">
        <v>2.04967E-2</v>
      </c>
      <c r="W28" s="29"/>
      <c r="X28" s="29">
        <v>93.561400000000006</v>
      </c>
      <c r="Y28" s="29">
        <v>2.3577299999999999E-2</v>
      </c>
      <c r="Z28" s="29"/>
      <c r="AA28" s="29">
        <v>93.44</v>
      </c>
      <c r="AB28" s="29">
        <v>2.47864E-2</v>
      </c>
    </row>
    <row r="29" spans="12:28" x14ac:dyDescent="0.35">
      <c r="L29" s="28">
        <v>101.864</v>
      </c>
      <c r="M29" s="28">
        <v>3.0699500000000001E-2</v>
      </c>
      <c r="N29" s="28"/>
      <c r="O29" s="28">
        <v>101.864</v>
      </c>
      <c r="P29" s="28">
        <v>3.0699500000000001E-2</v>
      </c>
      <c r="Q29" s="28"/>
      <c r="R29" s="28">
        <v>75.871200000000002</v>
      </c>
      <c r="S29" s="28">
        <v>2.13473E-2</v>
      </c>
      <c r="U29" s="29">
        <v>80.680000000000007</v>
      </c>
      <c r="V29" s="29">
        <v>2.0492699999999999E-2</v>
      </c>
      <c r="W29" s="29"/>
      <c r="X29" s="29">
        <v>98.078999999999994</v>
      </c>
      <c r="Y29" s="29">
        <v>2.5145299999999999E-2</v>
      </c>
      <c r="Z29" s="29"/>
      <c r="AA29" s="29">
        <v>97.9465</v>
      </c>
      <c r="AB29" s="29">
        <v>2.6480099999999999E-2</v>
      </c>
    </row>
    <row r="30" spans="12:28" x14ac:dyDescent="0.35">
      <c r="L30" s="28">
        <v>108.773</v>
      </c>
      <c r="M30" s="28">
        <v>3.32048E-2</v>
      </c>
      <c r="N30" s="28"/>
      <c r="O30" s="28">
        <v>108.773</v>
      </c>
      <c r="P30" s="28">
        <v>3.32048E-2</v>
      </c>
      <c r="Q30" s="28"/>
      <c r="R30" s="28">
        <v>79.066299999999998</v>
      </c>
      <c r="S30" s="28">
        <v>2.2349899999999999E-2</v>
      </c>
      <c r="U30" s="29">
        <v>81.310100000000006</v>
      </c>
      <c r="V30" s="29">
        <v>2.0490600000000001E-2</v>
      </c>
      <c r="W30" s="29"/>
      <c r="X30" s="29">
        <v>102.60599999999999</v>
      </c>
      <c r="Y30" s="29">
        <v>2.6631999999999999E-2</v>
      </c>
      <c r="Z30" s="29"/>
      <c r="AA30" s="29">
        <v>102.46</v>
      </c>
      <c r="AB30" s="29">
        <v>2.79242E-2</v>
      </c>
    </row>
    <row r="31" spans="12:28" x14ac:dyDescent="0.35">
      <c r="L31" s="28">
        <v>110.49</v>
      </c>
      <c r="M31" s="28">
        <v>3.3674700000000002E-2</v>
      </c>
      <c r="N31" s="28"/>
      <c r="O31" s="28">
        <v>110.49</v>
      </c>
      <c r="P31" s="28">
        <v>3.3674700000000002E-2</v>
      </c>
      <c r="Q31" s="28"/>
      <c r="R31" s="28">
        <v>83.865899999999996</v>
      </c>
      <c r="S31" s="28">
        <v>2.4869599999999999E-2</v>
      </c>
      <c r="U31" s="29">
        <v>82.255799999999994</v>
      </c>
      <c r="V31" s="29">
        <v>2.0498700000000002E-2</v>
      </c>
      <c r="W31" s="29"/>
      <c r="X31" s="29">
        <v>107.137</v>
      </c>
      <c r="Y31" s="29">
        <v>2.7953700000000001E-2</v>
      </c>
      <c r="Z31" s="29"/>
      <c r="AA31" s="29">
        <v>106.977</v>
      </c>
      <c r="AB31" s="29">
        <v>2.9036200000000002E-2</v>
      </c>
    </row>
    <row r="32" spans="12:28" x14ac:dyDescent="0.35">
      <c r="L32" s="28">
        <v>112.208</v>
      </c>
      <c r="M32" s="28">
        <v>3.4108899999999998E-2</v>
      </c>
      <c r="N32" s="28"/>
      <c r="O32" s="28">
        <v>112.208</v>
      </c>
      <c r="P32" s="28">
        <v>3.4108899999999998E-2</v>
      </c>
      <c r="Q32" s="28"/>
      <c r="R32" s="28">
        <v>88.665599999999998</v>
      </c>
      <c r="S32" s="28">
        <v>2.8645E-2</v>
      </c>
      <c r="U32" s="29">
        <v>83.674999999999997</v>
      </c>
      <c r="V32" s="29">
        <v>2.0538000000000001E-2</v>
      </c>
      <c r="W32" s="29"/>
      <c r="X32" s="29">
        <v>111.666</v>
      </c>
      <c r="Y32" s="29">
        <v>2.87122E-2</v>
      </c>
      <c r="Z32" s="29"/>
      <c r="AA32" s="29">
        <v>109.517</v>
      </c>
      <c r="AB32" s="29">
        <v>2.9456099999999999E-2</v>
      </c>
    </row>
    <row r="33" spans="12:28" x14ac:dyDescent="0.35">
      <c r="L33" s="28">
        <v>114.79600000000001</v>
      </c>
      <c r="M33" s="28">
        <v>3.4685800000000003E-2</v>
      </c>
      <c r="N33" s="28"/>
      <c r="O33" s="28">
        <v>114.79600000000001</v>
      </c>
      <c r="P33" s="28">
        <v>3.4685800000000003E-2</v>
      </c>
      <c r="Q33" s="28"/>
      <c r="R33" s="28">
        <v>93.477500000000006</v>
      </c>
      <c r="S33" s="28">
        <v>3.31177E-2</v>
      </c>
      <c r="U33" s="29">
        <v>85.807599999999994</v>
      </c>
      <c r="V33" s="29">
        <v>2.0671800000000001E-2</v>
      </c>
      <c r="W33" s="29"/>
      <c r="X33" s="29">
        <v>114.218</v>
      </c>
      <c r="Y33" s="29">
        <v>2.9132100000000001E-2</v>
      </c>
      <c r="Z33" s="29"/>
      <c r="AA33" s="29">
        <v>113.333</v>
      </c>
      <c r="AB33" s="29">
        <v>3.0176000000000001E-2</v>
      </c>
    </row>
    <row r="34" spans="12:28" x14ac:dyDescent="0.35">
      <c r="L34" s="28">
        <v>118.68600000000001</v>
      </c>
      <c r="M34" s="28">
        <v>3.5562400000000001E-2</v>
      </c>
      <c r="N34" s="28"/>
      <c r="O34" s="28">
        <v>118.68600000000001</v>
      </c>
      <c r="P34" s="28">
        <v>3.5562400000000001E-2</v>
      </c>
      <c r="Q34" s="28"/>
      <c r="R34" s="28">
        <v>98.261799999999994</v>
      </c>
      <c r="S34" s="28">
        <v>3.6832799999999999E-2</v>
      </c>
      <c r="U34" s="29">
        <v>89.013300000000001</v>
      </c>
      <c r="V34" s="29">
        <v>2.1064200000000002E-2</v>
      </c>
      <c r="W34" s="29"/>
      <c r="X34" s="29">
        <v>118.054</v>
      </c>
      <c r="Y34" s="29">
        <v>2.98912E-2</v>
      </c>
      <c r="Z34" s="29"/>
      <c r="AA34" s="29">
        <v>119.07299999999999</v>
      </c>
      <c r="AB34" s="29">
        <v>3.1404000000000001E-2</v>
      </c>
    </row>
  </sheetData>
  <phoneticPr fontId="4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57A2-CB71-4D24-AC45-20C9FDB0C978}">
  <dimension ref="D2:L4"/>
  <sheetViews>
    <sheetView workbookViewId="0">
      <selection activeCell="G7" sqref="G7"/>
    </sheetView>
  </sheetViews>
  <sheetFormatPr defaultRowHeight="14.5" x14ac:dyDescent="0.35"/>
  <sheetData>
    <row r="2" spans="4:12" x14ac:dyDescent="0.35">
      <c r="D2" s="4" t="s">
        <v>24</v>
      </c>
      <c r="E2" s="78" t="s">
        <v>25</v>
      </c>
      <c r="F2" s="79"/>
      <c r="G2" s="79"/>
      <c r="H2" s="79"/>
      <c r="I2" s="79"/>
      <c r="J2" s="79"/>
      <c r="K2" s="79"/>
      <c r="L2" s="79"/>
    </row>
    <row r="3" spans="4:12" x14ac:dyDescent="0.35"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</row>
    <row r="4" spans="4:12" x14ac:dyDescent="0.35">
      <c r="D4" s="3" t="s">
        <v>20</v>
      </c>
      <c r="E4" s="3">
        <v>0.03</v>
      </c>
      <c r="F4" s="3">
        <v>1</v>
      </c>
      <c r="G4" s="3">
        <v>2</v>
      </c>
      <c r="H4" s="3">
        <v>0.03</v>
      </c>
      <c r="I4" s="3">
        <v>4.4999999999999998E-2</v>
      </c>
      <c r="J4" s="3" t="s">
        <v>21</v>
      </c>
      <c r="K4" s="3" t="s">
        <v>22</v>
      </c>
      <c r="L4" s="3" t="s">
        <v>23</v>
      </c>
    </row>
  </sheetData>
  <mergeCells count="1">
    <mergeCell ref="E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LBA</vt:lpstr>
      <vt:lpstr>Codes</vt:lpstr>
      <vt:lpstr>Case 3</vt:lpstr>
      <vt:lpstr>Sheet2</vt:lpstr>
      <vt:lpstr>Imperfection</vt:lpstr>
      <vt:lpstr>Sheet3</vt:lpstr>
      <vt:lpstr>Fatigue Life</vt:lpstr>
      <vt:lpstr>Sheet1</vt:lpstr>
      <vt:lpstr>NL</vt:lpstr>
      <vt:lpstr>Parametric</vt:lpstr>
      <vt:lpstr>Case 2</vt:lpstr>
      <vt:lpstr>Chemical 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 Asus Vivobook</dc:creator>
  <cp:lastModifiedBy>Notebook Asus Vivobook</cp:lastModifiedBy>
  <dcterms:created xsi:type="dcterms:W3CDTF">2025-08-25T06:21:27Z</dcterms:created>
  <dcterms:modified xsi:type="dcterms:W3CDTF">2026-02-10T07:51:44Z</dcterms:modified>
</cp:coreProperties>
</file>